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Vinay\Documents\Project\Algo_Trading\docs\"/>
    </mc:Choice>
  </mc:AlternateContent>
  <xr:revisionPtr revIDLastSave="0" documentId="13_ncr:1_{996A2DEF-5F38-4F62-8C7A-9AF2E10C2CD7}" xr6:coauthVersionLast="47" xr6:coauthVersionMax="47" xr10:uidLastSave="{00000000-0000-0000-0000-000000000000}"/>
  <bookViews>
    <workbookView xWindow="-28920" yWindow="-2130" windowWidth="29040" windowHeight="15720" tabRatio="500" activeTab="1" xr2:uid="{00000000-000D-0000-FFFF-FFFF00000000}"/>
  </bookViews>
  <sheets>
    <sheet name="📊 Dashboard" sheetId="1" r:id="rId1"/>
    <sheet name="🚀 Phase 1 — Setup" sheetId="2" r:id="rId2"/>
    <sheet name="🔧 Phase 2 — Fixes" sheetId="3" r:id="rId3"/>
    <sheet name="📈 Phase 3 — Strategies" sheetId="4" r:id="rId4"/>
    <sheet name="🧪 Phase 4 — Validation" sheetId="5" r:id="rId5"/>
    <sheet name="☁️ Phase 5 — Go Live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0" i="6" l="1"/>
  <c r="F11" i="1" s="1"/>
  <c r="G11" i="1" s="1"/>
  <c r="E23" i="5"/>
  <c r="F10" i="1" s="1"/>
  <c r="G10" i="1" s="1"/>
  <c r="E56" i="4"/>
  <c r="F9" i="1" s="1"/>
  <c r="G9" i="1" s="1"/>
  <c r="E51" i="3"/>
  <c r="F8" i="1" s="1"/>
  <c r="G8" i="1" s="1"/>
  <c r="E44" i="2"/>
  <c r="F7" i="1" s="1"/>
  <c r="F13" i="1" l="1"/>
  <c r="G13" i="1" s="1"/>
  <c r="G7" i="1"/>
</calcChain>
</file>

<file path=xl/sharedStrings.xml><?xml version="1.0" encoding="utf-8"?>
<sst xmlns="http://schemas.openxmlformats.org/spreadsheetml/2006/main" count="579" uniqueCount="441">
  <si>
    <t>DELTA EXCHANGE TRADING BOT — PROJECT DASHBOARD</t>
  </si>
  <si>
    <t>Built with Claude AI  •  Local to Production  •  Non-Coder Edition</t>
  </si>
  <si>
    <t>Phase</t>
  </si>
  <si>
    <t>Title</t>
  </si>
  <si>
    <t>Days</t>
  </si>
  <si>
    <t>Total Tasks</t>
  </si>
  <si>
    <t>Done</t>
  </si>
  <si>
    <t>% Complete</t>
  </si>
  <si>
    <t>Phase 1</t>
  </si>
  <si>
    <t>Local Setup &amp; First Run</t>
  </si>
  <si>
    <t>Days 1–7</t>
  </si>
  <si>
    <t>Phase 2</t>
  </si>
  <si>
    <t>Fix Critical Issues</t>
  </si>
  <si>
    <t>Days 8–37</t>
  </si>
  <si>
    <t>Phase 3</t>
  </si>
  <si>
    <t>8 New Advanced Strategies</t>
  </si>
  <si>
    <t>Days 38–82</t>
  </si>
  <si>
    <t>Phase 4</t>
  </si>
  <si>
    <t>Paper Trading Validation</t>
  </si>
  <si>
    <t>Days 83–97</t>
  </si>
  <si>
    <t>Phase 5</t>
  </si>
  <si>
    <t>Cloud Migration &amp; Go Live</t>
  </si>
  <si>
    <t>Days 98+</t>
  </si>
  <si>
    <t>TOTAL PROJECT</t>
  </si>
  <si>
    <t>HOW TO USE THIS FILE</t>
  </si>
  <si>
    <t>1.  Work through each phase tab in order (bottom of screen: Phase 1 → Phase 2 → ... → Phase 5)</t>
  </si>
  <si>
    <t>2.  When you complete a task, click the STATUS cell and choose  ✅ Done  from the dropdown list</t>
  </si>
  <si>
    <t>3.  Use the NOTES column to record: error messages, things Claude said, what you changed</t>
  </si>
  <si>
    <t>4.  The DATE COMPLETED column: type today's date when you tick a task as done</t>
  </si>
  <si>
    <t>5.  Never skip a Critical priority task — they are gates that protect you from losing money</t>
  </si>
  <si>
    <t>6.  If you get stuck on any task: copy the task name + your error message and paste it to Claude</t>
  </si>
  <si>
    <t>⚠  IMPORTANT: Never use real money until Phase 4 validation gates all pass. No exceptions.</t>
  </si>
  <si>
    <t>PHASE 1 — Local Setup &amp; First Run  |  Days 1–7</t>
  </si>
  <si>
    <t>Goal: Bot running in paper mode on your Windows machine within 7 days</t>
  </si>
  <si>
    <t>Task ID</t>
  </si>
  <si>
    <t>Task Name</t>
  </si>
  <si>
    <t>Instructions / What to do</t>
  </si>
  <si>
    <t>Status</t>
  </si>
  <si>
    <t>Date Completed</t>
  </si>
  <si>
    <t>Day 1 — Installation</t>
  </si>
  <si>
    <t>P1-01</t>
  </si>
  <si>
    <t>[CRI]  Check Python version</t>
  </si>
  <si>
    <t>Open PowerShell (Win+X → Terminal). Run:  python --version  — must show 3.12.x</t>
  </si>
  <si>
    <t>☐ To Do</t>
  </si>
  <si>
    <t>P1-02</t>
  </si>
  <si>
    <t>[CRI]  Upgrade Python to 3.12 if needed</t>
  </si>
  <si>
    <t>If version shows 3.11 or lower — tell Claude and follow the upgrade guide</t>
  </si>
  <si>
    <t>P1-03</t>
  </si>
  <si>
    <t>[CRI]  Verify Poetry is installed</t>
  </si>
  <si>
    <t>Run:  poetry --version  — should show 1.8.x or higher</t>
  </si>
  <si>
    <t>P1-04</t>
  </si>
  <si>
    <t>[CRI]  Install Poetry if missing</t>
  </si>
  <si>
    <t>Run the Poetry install command Claude gives you in PowerShell. Takes 5 minutes.</t>
  </si>
  <si>
    <t>Day 1–2 — Get the project</t>
  </si>
  <si>
    <t>P1-05</t>
  </si>
  <si>
    <t>[HIG]  Navigate to Desktop in PowerShell</t>
  </si>
  <si>
    <t>Run:  cd $env:USERPROFILE\Desktop</t>
  </si>
  <si>
    <t>P1-06</t>
  </si>
  <si>
    <t>[HIG]  Clone the GitHub repository</t>
  </si>
  <si>
    <t>Run:  git clone https://github.com/vinugani/Trading_Algo.git</t>
  </si>
  <si>
    <t>P1-07</t>
  </si>
  <si>
    <t>[HIG]  Enter the project folder</t>
  </si>
  <si>
    <t>Run:  cd Trading_Algo</t>
  </si>
  <si>
    <t>P1-08</t>
  </si>
  <si>
    <t>[HIG]  Open project in VS Code</t>
  </si>
  <si>
    <t>Run:  code .   — VS Code opens with all project files in the sidebar</t>
  </si>
  <si>
    <t>P1-09</t>
  </si>
  <si>
    <t>[CRI]  Install all Python dependencies</t>
  </si>
  <si>
    <t>Run:  poetry install   — waits 2–5 minutes, downloads all libraries</t>
  </si>
  <si>
    <t>P1-10</t>
  </si>
  <si>
    <t>[HIG]  Confirm no red errors in poetry install</t>
  </si>
  <si>
    <t>Last line should say: Installing the current project: delta-exchange-trading-bot (0.1.0)</t>
  </si>
  <si>
    <t>Day 2 — Security (CRITICAL — do before anything else)</t>
  </si>
  <si>
    <t>P1-11</t>
  </si>
  <si>
    <t>[CRI]  Open .env file in VS Code</t>
  </si>
  <si>
    <t>Click the .env file in the left sidebar</t>
  </si>
  <si>
    <t>P1-12</t>
  </si>
  <si>
    <t>[CRI]  DELETE all content in .env file</t>
  </si>
  <si>
    <t>Current file has REAL leaked API keys. Press Ctrl+A then Delete. Remove everything.</t>
  </si>
  <si>
    <t>P1-13</t>
  </si>
  <si>
    <t>[CRI]  Paste safe paper-mode .env template from Claude</t>
  </si>
  <si>
    <t>Use the template Claude provides with testnet settings and placeholder keys</t>
  </si>
  <si>
    <t>P1-14</t>
  </si>
  <si>
    <t>[CRI]  Save the .env file</t>
  </si>
  <si>
    <t>Press Ctrl+S in VS Code</t>
  </si>
  <si>
    <t>P1-15</t>
  </si>
  <si>
    <t>[HIG]  Register on Delta Exchange testnet</t>
  </si>
  <si>
    <t>Go to:  cdn-ind.testnet.deltaex.org  — create a free account (no real money)</t>
  </si>
  <si>
    <t>P1-16</t>
  </si>
  <si>
    <t>[HIG]  Generate testnet API key and secret</t>
  </si>
  <si>
    <t>In testnet account → Settings → API Keys → Create New Key. Copy both values.</t>
  </si>
  <si>
    <t>P1-17</t>
  </si>
  <si>
    <t>[CRI]  Update .env with your testnet credentials</t>
  </si>
  <si>
    <t>Replace the placeholder values DELTA_API_KEY and DELTA_API_SECRET with your real testnet keys</t>
  </si>
  <si>
    <t>Day 2 — First run</t>
  </si>
  <si>
    <t>P1-18</t>
  </si>
  <si>
    <t>[CRI]  Run the bot in paper mode</t>
  </si>
  <si>
    <t>Run:  poetry run python scripts/run_bot.py --mode paper --strategy portfolio</t>
  </si>
  <si>
    <t>P1-19</t>
  </si>
  <si>
    <t>[CRI]  Confirm JSON log lines appear in PowerShell</t>
  </si>
  <si>
    <t>You should see lines like: {"level":"INFO","message":"Starting trading engine in paper mode"}</t>
  </si>
  <si>
    <t>P1-20</t>
  </si>
  <si>
    <t>[HIG]  Let the bot run for at least 30 minutes</t>
  </si>
  <si>
    <t>Watch the logs scroll every 60 seconds. This is normal.</t>
  </si>
  <si>
    <t>P1-21</t>
  </si>
  <si>
    <t>[HIG]  Stop the bot with Ctrl+C</t>
  </si>
  <si>
    <t>Press and hold Ctrl, then press C. Bot stops cleanly.</t>
  </si>
  <si>
    <t>P1-22</t>
  </si>
  <si>
    <t>[MED]  Install SQLite Viewer extension in VS Code</t>
  </si>
  <si>
    <t>Extensions (Ctrl+Shift+X) → search 'SQLite Viewer' by Florian Klampfer → Install</t>
  </si>
  <si>
    <t>P1-23</t>
  </si>
  <si>
    <t>[HIG]  Open state.db and confirm rows exist</t>
  </si>
  <si>
    <t>Click state.db in VS Code sidebar. Check trades or signals tables have data rows.</t>
  </si>
  <si>
    <t>Days 3–7 — Observe and understand</t>
  </si>
  <si>
    <t>P1-24</t>
  </si>
  <si>
    <t>[MED]  Run bot for 2–3 hours each day</t>
  </si>
  <si>
    <t>Let it run in paper mode. Don't change anything yet — just observe the output.</t>
  </si>
  <si>
    <t>P1-25</t>
  </si>
  <si>
    <t>[HIG]  Note any error messages</t>
  </si>
  <si>
    <t>If you see red text in logs — copy the full error and paste it to Claude to fix</t>
  </si>
  <si>
    <t>P1-26</t>
  </si>
  <si>
    <t>[LOW]  Ask Claude to explain any log line you don't understand</t>
  </si>
  <si>
    <t>Understanding the output makes Phase 2 much easier</t>
  </si>
  <si>
    <t>P1-27</t>
  </si>
  <si>
    <t>[CRI]  ✅  PHASE 1 COMPLETE</t>
  </si>
  <si>
    <t>Bot runs without errors for 2+ consecutive days. Paper trades recording in state.db.</t>
  </si>
  <si>
    <t>PHASE 1 Summary</t>
  </si>
  <si>
    <t>Total tasks: 27</t>
  </si>
  <si>
    <t>PHASE 2 — Fix Critical Issues  |  Days 8–37</t>
  </si>
  <si>
    <t>Goal: Security fixed, known bugs corrected, real exchange stops working, Grafana dashboards live</t>
  </si>
  <si>
    <t>Day 8 — Quick wins</t>
  </si>
  <si>
    <t>P2-01</t>
  </si>
  <si>
    <t>[HIG]  Fix Dockerfile Python version</t>
  </si>
  <si>
    <t>Open Dockerfile. Change line 1: python:3.11-slim → python:3.12-slim. Save with Ctrl+S.</t>
  </si>
  <si>
    <t>P2-02</t>
  </si>
  <si>
    <t>[HIG]  Verify Docker fix works</t>
  </si>
  <si>
    <t>Run:  docker build -t test-bot .  — should complete without errors</t>
  </si>
  <si>
    <t>Days 8–15 — Code cleanup</t>
  </si>
  <si>
    <t>P2-03</t>
  </si>
  <si>
    <t>[HIG]  Merge strategy/ and strategies/ duplicate packages</t>
  </si>
  <si>
    <t>Claude writes all the unified code. You copy-paste each file Claude provides.</t>
  </si>
  <si>
    <t>P2-04</t>
  </si>
  <si>
    <t>[HIG]  Run tests after merge</t>
  </si>
  <si>
    <t>Run:  poetry run pytest tests/   — all tests must still pass (green output)</t>
  </si>
  <si>
    <t>P2-05</t>
  </si>
  <si>
    <t>[MED]  Wire config/paper.yml to Settings class</t>
  </si>
  <si>
    <t>Claude rewrites core/settings.py to auto-load the YAML config files</t>
  </si>
  <si>
    <t>P2-06</t>
  </si>
  <si>
    <t>[MED]  Test that YAML config loading works</t>
  </si>
  <si>
    <t>Change a value in config/paper.yml, restart bot, verify the new value takes effect</t>
  </si>
  <si>
    <t>Days 12–15 — Bug fixes</t>
  </si>
  <si>
    <t>P2-07</t>
  </si>
  <si>
    <t>[HIG]  Fix RSI Wilder's smoothing formula</t>
  </si>
  <si>
    <t>Claude rewrites the _rsi() function in strategies/rsi_scalping.py. Single function change.</t>
  </si>
  <si>
    <t>P2-08</t>
  </si>
  <si>
    <t>[HIG]  Run RSI unit tests</t>
  </si>
  <si>
    <t>Run:  poetry run pytest tests/unit/test_rsi_scalping_strategy.py</t>
  </si>
  <si>
    <t>P2-09</t>
  </si>
  <si>
    <t>[MED]  Verify RSI matches TradingView values</t>
  </si>
  <si>
    <t>Same candle data should now give same RSI as TradingView charts</t>
  </si>
  <si>
    <t>Days 14–20 — Exchange stop orders</t>
  </si>
  <si>
    <t>P2-10</t>
  </si>
  <si>
    <t>[CRI]  Add stop-limit order method to DeltaClient</t>
  </si>
  <si>
    <t>Claude adds place_stop_limit_order() to api/delta_client.py</t>
  </si>
  <si>
    <t>P2-11</t>
  </si>
  <si>
    <t>[CRI]  Store exchange stop order ID in database</t>
  </si>
  <si>
    <t>Claude updates open_position_state table schema and the upsert logic</t>
  </si>
  <si>
    <t>P2-12</t>
  </si>
  <si>
    <t>[CRI]  Place stop order on exchange after every entry</t>
  </si>
  <si>
    <t>Claude updates _register_entry_position() in cli/professional_bot.py</t>
  </si>
  <si>
    <t>P2-13</t>
  </si>
  <si>
    <t>[CRI]  Cancel exchange stop order on position close</t>
  </si>
  <si>
    <t>Claude updates _handle_exit() to cancel the exchange-side stop order</t>
  </si>
  <si>
    <t>P2-14</t>
  </si>
  <si>
    <t>[HIG]  Test exchange stops in paper mode for 24 hours</t>
  </si>
  <si>
    <t>Verify stop orders appear in your testnet account on the Delta Exchange website</t>
  </si>
  <si>
    <t>Days 20–24 — Funding rate</t>
  </si>
  <si>
    <t>P2-15</t>
  </si>
  <si>
    <t>[HIG]  Add get_funding_rate() to DeltaClient</t>
  </si>
  <si>
    <t>Claude adds the funding rate API endpoint call to api/delta_client.py</t>
  </si>
  <si>
    <t>P2-16</t>
  </si>
  <si>
    <t>[MED]  Log funding rate in execution metadata</t>
  </si>
  <si>
    <t>Claude updates execute_order() to store funding rate in the metadata_json column</t>
  </si>
  <si>
    <t>P2-17</t>
  </si>
  <si>
    <t>[HIG]  Add funding cost to FeeManager PnL calculation</t>
  </si>
  <si>
    <t>Claude updates FeeManager to include 8-hour funding charges in profit/loss calculation</t>
  </si>
  <si>
    <t>Days 24–26 — Max holding period</t>
  </si>
  <si>
    <t>P2-18</t>
  </si>
  <si>
    <t>[MED]  Add max_hold_candles setting to Settings</t>
  </si>
  <si>
    <t>Claude adds:  max_hold_candles: int = 50  to core/settings.py</t>
  </si>
  <si>
    <t>P2-19</t>
  </si>
  <si>
    <t>[MED]  Track entry time in open_position_state</t>
  </si>
  <si>
    <t>Claude adds entry_time column to database and saves it when position opens</t>
  </si>
  <si>
    <t>P2-20</t>
  </si>
  <si>
    <t>[MED]  Add auto-close logic in process_symbol()</t>
  </si>
  <si>
    <t>Claude adds the time-based exit check in the main trading loop</t>
  </si>
  <si>
    <t>P2-21</t>
  </si>
  <si>
    <t>[MED]  Test: verify position auto-closes after time limit</t>
  </si>
  <si>
    <t>Open a paper position and confirm it closes after max_hold_candles candles</t>
  </si>
  <si>
    <t>Days 26–37 — Grafana dashboards</t>
  </si>
  <si>
    <t>P2-22</t>
  </si>
  <si>
    <t>[HIG]  Add Grafana and Loki services to docker-compose.yml</t>
  </si>
  <si>
    <t>Claude rewrites docker-compose.yml with Grafana + Loki + Promtail services added</t>
  </si>
  <si>
    <t>P2-23</t>
  </si>
  <si>
    <t>[HIG]  Start full stack: docker compose up -d</t>
  </si>
  <si>
    <t>Run this in your Trading_Algo folder. All 5 services start. Takes about 2 minutes.</t>
  </si>
  <si>
    <t>P2-24</t>
  </si>
  <si>
    <t>[HIG]  Open Grafana at http://localhost:3000</t>
  </si>
  <si>
    <t>Default login: admin / admin. Change your password when prompted.</t>
  </si>
  <si>
    <t>P2-25</t>
  </si>
  <si>
    <t>[HIG]  Add Prometheus data source in Grafana</t>
  </si>
  <si>
    <t>Settings → Data Sources → Add → Prometheus → URL: http://prometheus:9090 → Save</t>
  </si>
  <si>
    <t>P2-26</t>
  </si>
  <si>
    <t>[HIG]  Import Trading Overview dashboard</t>
  </si>
  <si>
    <t>Claude provides the JSON. Grafana → Dashboards → Import → paste JSON → Load</t>
  </si>
  <si>
    <t>P2-27</t>
  </si>
  <si>
    <t>[HIG]  Import Risk Monitor dashboard</t>
  </si>
  <si>
    <t>Claude provides a second JSON for the risk &amp; drawdown dashboard</t>
  </si>
  <si>
    <t>P2-28</t>
  </si>
  <si>
    <t>[MED]  Import API Health dashboard</t>
  </si>
  <si>
    <t>Third dashboard showing API latency, error rates, and circuit breaker status</t>
  </si>
  <si>
    <t>P2-29</t>
  </si>
  <si>
    <t>[HIG]  Confirm live data flows into dashboards</t>
  </si>
  <si>
    <t>Run the bot for 30 min, refresh Grafana, see trade_count and PnL metrics update</t>
  </si>
  <si>
    <t>P2-30</t>
  </si>
  <si>
    <t>[CRI]  ✅  PHASE 2 COMPLETE</t>
  </si>
  <si>
    <t>Security fixed, bugs corrected, real exchange stops working, Grafana dashboards live.</t>
  </si>
  <si>
    <t>PHASE 2 Summary</t>
  </si>
  <si>
    <t>Total tasks: 30</t>
  </si>
  <si>
    <t>PHASE 3 — 8 New Advanced Strategies  |  Days 38–82</t>
  </si>
  <si>
    <t>Goal: 13 total strategies covering every market regime — all backtested and validated</t>
  </si>
  <si>
    <t>Strategy 1 — VWAP Deviation (Days 38–42)</t>
  </si>
  <si>
    <t>P3-01</t>
  </si>
  <si>
    <t>[HIG]  Claude writes VWAPDeviationStrategy class</t>
  </si>
  <si>
    <t>New file: strategies/vwap_deviation.py. Uses volume column from candles DataFrame.</t>
  </si>
  <si>
    <t>P3-02</t>
  </si>
  <si>
    <t>[HIG]  Add to StrategyManager for RANGING regime</t>
  </si>
  <si>
    <t>Claude updates strategies/manager.py dispatch. VWAP = most-watched level by pro traders.</t>
  </si>
  <si>
    <t>P3-03</t>
  </si>
  <si>
    <t>[HIG]  Backtest against 30 days of BTCUSD 1m data</t>
  </si>
  <si>
    <t>Run BacktestEngine with VWAPDeviationStrategy. Target: Sharpe ratio &gt; 0.5</t>
  </si>
  <si>
    <t>P3-04</t>
  </si>
  <si>
    <t>[MED]  Run in paper mode for 48 hours</t>
  </si>
  <si>
    <t>Observe signal frequency and quality in paper trading logs and Grafana</t>
  </si>
  <si>
    <t>Strategy 2 — Bollinger Bands Squeeze (Days 43–46)</t>
  </si>
  <si>
    <t>P3-05</t>
  </si>
  <si>
    <t>[HIG]  Claude writes BollingerSqueezeStrategy class</t>
  </si>
  <si>
    <t>New file: strategies/bollinger_squeeze.py. Detects volatility coiling before breakouts.</t>
  </si>
  <si>
    <t>P3-06</t>
  </si>
  <si>
    <t>[HIG]  Add to StrategyManager for LOW_VOL→HIGH_VOL transition</t>
  </si>
  <si>
    <t>Claude updates manager.py. This strategy watches for regime transition.</t>
  </si>
  <si>
    <t>P3-07</t>
  </si>
  <si>
    <t>[HIG]  Backtest and validate Sharpe &gt; 0.5</t>
  </si>
  <si>
    <t>Run BacktestEngine. Only add to live dispatch if threshold passes.</t>
  </si>
  <si>
    <t>Strategy 3 — MACD Histogram (Days 47–50)</t>
  </si>
  <si>
    <t>P3-08</t>
  </si>
  <si>
    <t>[HIG]  Claude writes MACDHistogramStrategy class</t>
  </si>
  <si>
    <t>New file: strategies/macd_histogram.py. Uses existing EMA functions already in codebase.</t>
  </si>
  <si>
    <t>P3-09</t>
  </si>
  <si>
    <t>[HIG]  Add to StrategyManager for TRENDING regime</t>
  </si>
  <si>
    <t>Works alongside existing TrendFollowingStrategy for better trend entries</t>
  </si>
  <si>
    <t>P3-10</t>
  </si>
  <si>
    <t>[HIG]  Backtest and validate</t>
  </si>
  <si>
    <t>Compare vs EMA crossover — MACD should show fewer false signals</t>
  </si>
  <si>
    <t>Strategy 4 — Order Book Imbalance (Days 51–56)</t>
  </si>
  <si>
    <t>P3-11</t>
  </si>
  <si>
    <t>[HIG]  Claude writes OrderBookImbalanceStrategy class</t>
  </si>
  <si>
    <t>New file: strategies/order_book_imbalance.py. Uses existing get_orderbook() already in DeltaClient.</t>
  </si>
  <si>
    <t>P3-12</t>
  </si>
  <si>
    <t>[HIG]  Test bid/ask ratio calculation</t>
  </si>
  <si>
    <t>Claude writes a small test script to verify the ratio calculates correctly</t>
  </si>
  <si>
    <t>P3-13</t>
  </si>
  <si>
    <t>[HIG]  Add to StrategyManager as secondary signal for all regimes</t>
  </si>
  <si>
    <t>This strategy fires BEFORE price moves — unique edge over all other strategies</t>
  </si>
  <si>
    <t>P3-14</t>
  </si>
  <si>
    <t>[HIG]  Run 2-week paper as validation (hard to backtest)</t>
  </si>
  <si>
    <t>Order book signals need live validation — monitor in Grafana for 2 weeks</t>
  </si>
  <si>
    <t>Strategy 5 — Multi-Timeframe Confluence (Days 57–62)</t>
  </si>
  <si>
    <t>P3-15</t>
  </si>
  <si>
    <t>[HIG]  Add 15m and 1h candle intervals to fetch_candles()</t>
  </si>
  <si>
    <t>Claude updates data/market_data.py SUPPORTED_INTERVALS to include 15m and 1h</t>
  </si>
  <si>
    <t>P3-16</t>
  </si>
  <si>
    <t>[HIG]  Claude writes MultiTimeframeFilter class</t>
  </si>
  <si>
    <t>New file: strategies/multi_timeframe.py. Wraps any existing strategy as a filter.</t>
  </si>
  <si>
    <t>P3-17</t>
  </si>
  <si>
    <t>[HIG]  Apply MTF filter on top of all existing strategies</t>
  </si>
  <si>
    <t>Claude updates manager.py to wrap each strategy with the MTF directional filter</t>
  </si>
  <si>
    <t>P3-18</t>
  </si>
  <si>
    <t>[HIG]  Test: verify fewer but higher-quality signals in paper mode</t>
  </si>
  <si>
    <t>Signal count should drop ~40% but win rate should increase significantly</t>
  </si>
  <si>
    <t>Strategy 6 — Funding Rate Extremes (Days 63–68)</t>
  </si>
  <si>
    <t>P3-19</t>
  </si>
  <si>
    <t>[HIG]  Claude writes FundingRateStrategy class</t>
  </si>
  <si>
    <t>New file: strategies/funding_rate.py. Uses get_funding_rate() added in Phase 2.</t>
  </si>
  <si>
    <t>P3-20</t>
  </si>
  <si>
    <t>[HIG]  Add to StrategyManager for HIGH_VOL regime</t>
  </si>
  <si>
    <t>Extreme positive funding = overleveraged longs = sell signal. Unique crypto edge.</t>
  </si>
  <si>
    <t>P3-21</t>
  </si>
  <si>
    <t>[MED]  Run paper mode as primary validation</t>
  </si>
  <si>
    <t>Delta Exchange may have limited history for backtesting funding rates</t>
  </si>
  <si>
    <t>Strategy 7 — Volume-Weighted Momentum (Days 69–72)</t>
  </si>
  <si>
    <t>P3-22</t>
  </si>
  <si>
    <t>[HIG]  Claude writes VolumeWeightedMomentumStrategy class</t>
  </si>
  <si>
    <t>New file: strategies/volume_momentum.py. Replaces the weak 3-bar momentum strategy.</t>
  </si>
  <si>
    <t>P3-23</t>
  </si>
  <si>
    <t>[MED]  Delete old MomentumStrategy from legacy package</t>
  </si>
  <si>
    <t>Remove strategy/momentum.py — confirmed no longer used anywhere</t>
  </si>
  <si>
    <t>P3-24</t>
  </si>
  <si>
    <t>[HIG]  Backtest: compare vs old 3-bar momentum</t>
  </si>
  <si>
    <t>New version must show better Sharpe ratio. If not, debug the volume multiplier with Claude.</t>
  </si>
  <si>
    <t>Strategy 8 — Support/Resistance Breakout (Days 73–77)</t>
  </si>
  <si>
    <t>P3-25</t>
  </si>
  <si>
    <t>[HIG]  Claude writes SupportResistanceBreakoutStrategy class</t>
  </si>
  <si>
    <t>New file: strategies/sr_breakout.py. 20-bar high/low + volume spike confirmation.</t>
  </si>
  <si>
    <t>P3-26</t>
  </si>
  <si>
    <t>[HIG]  Add to StrategyManager for TRENDING and HIGH_VOL regimes</t>
  </si>
  <si>
    <t>Works as second strategy alongside TrendFollowing in trending markets</t>
  </si>
  <si>
    <t>P3-27</t>
  </si>
  <si>
    <t>Target: Sharpe &gt; 0.8, win rate &gt; 50% in trending market conditions</t>
  </si>
  <si>
    <t>Full Validation (Days 78–82)</t>
  </si>
  <si>
    <t>P3-28</t>
  </si>
  <si>
    <t>[HIG]  Run BacktestEngine on each of the 8 new strategies individually</t>
  </si>
  <si>
    <t>Keep a notes file with each strategy's Sharpe ratio, win rate, max drawdown</t>
  </si>
  <si>
    <t>P3-29</t>
  </si>
  <si>
    <t>[HIG]  Disable any strategy with Sharpe ratio below 0.5</t>
  </si>
  <si>
    <t>Ask Claude to help tune parameters before permanently disabling any strategy</t>
  </si>
  <si>
    <t>P3-30</t>
  </si>
  <si>
    <t>[HIG]  Run all 13 strategies together in paper mode for 72 hours</t>
  </si>
  <si>
    <t>Monitor Grafana — confirm variety of signals across all 4 market regimes</t>
  </si>
  <si>
    <t>P3-31</t>
  </si>
  <si>
    <t>[CRI]  ✅  PHASE 3 COMPLETE</t>
  </si>
  <si>
    <t>All 13 strategies running, backtested, regime dispatch working for all 4 regimes.</t>
  </si>
  <si>
    <t>PHASE 3 Summary</t>
  </si>
  <si>
    <t>Total tasks: 31</t>
  </si>
  <si>
    <t>PHASE 4 — Paper Trading Validation  |  Days 83–97</t>
  </si>
  <si>
    <t>Goal: 2 full weeks of paper trading passing all 3 gates before any real money is involved</t>
  </si>
  <si>
    <t>Week 1 (Days 83–90) — Run and monitor</t>
  </si>
  <si>
    <t>P4-01</t>
  </si>
  <si>
    <t>[CRI]  Start 14-day continuous paper trading run</t>
  </si>
  <si>
    <t>P4-02</t>
  </si>
  <si>
    <t>[CRI]  Monitor Grafana dashboard every single day</t>
  </si>
  <si>
    <t>Check each morning: trade_count, win_rate, drawdown, total_pnl, api_errors</t>
  </si>
  <si>
    <t>P4-03</t>
  </si>
  <si>
    <t>[CRI]  Day 7 gate — Sharpe ratio &gt; 0.5</t>
  </si>
  <si>
    <t>Ask Claude to calculate Sharpe from state.db trade data. Must pass to continue.</t>
  </si>
  <si>
    <t>P4-04</t>
  </si>
  <si>
    <t>[CRI]  Day 7 gate — max drawdown below 6%</t>
  </si>
  <si>
    <t>Check the drawdown gauge in Grafana Risk Monitor dashboard</t>
  </si>
  <si>
    <t>P4-05</t>
  </si>
  <si>
    <t>[HIG]  Run analyze_paper_trades.py after Day 7</t>
  </si>
  <si>
    <t>Run:  poetry run python scripts/analyze_paper_trades.py  — review per-strategy results</t>
  </si>
  <si>
    <t>P4-06</t>
  </si>
  <si>
    <t>[HIG]  Note strategies that consistently lose money</t>
  </si>
  <si>
    <t>Flag them for parameter tuning in Week 2</t>
  </si>
  <si>
    <t>Week 2 (Days 91–97) — Tune and confirm</t>
  </si>
  <si>
    <t>P4-07</t>
  </si>
  <si>
    <t>[HIG]  Tune underperforming strategies with Claude</t>
  </si>
  <si>
    <t>Adjust thresholds (e.g. RSI entry from 30 → 35) if a strategy loses too often</t>
  </si>
  <si>
    <t>P4-08</t>
  </si>
  <si>
    <t>[CRI]  Day 14 gate — Sharpe ratio above 0.8</t>
  </si>
  <si>
    <t>MUST pass this gate before proceeding to live trading. No exceptions.</t>
  </si>
  <si>
    <t>P4-09</t>
  </si>
  <si>
    <t>[CRI]  Day 14 gate — max drawdown below 8%</t>
  </si>
  <si>
    <t>MUST pass. If drawdown exceeds 8%, return to Phase 3 and fix the problem.</t>
  </si>
  <si>
    <t>P4-10</t>
  </si>
  <si>
    <t>[CRI]  Day 14 gate — win rate above 45%</t>
  </si>
  <si>
    <t>At least 45% of paper trades must be profitable over the 2-week period</t>
  </si>
  <si>
    <t>P4-11</t>
  </si>
  <si>
    <t>[HIG]  Run final analyze_paper_trades.py report</t>
  </si>
  <si>
    <t>Save the output PDF/text. This is your baseline to compare against live performance.</t>
  </si>
  <si>
    <t>P4-12</t>
  </si>
  <si>
    <t>[CRI]  ✅  PHASE 4 COMPLETE</t>
  </si>
  <si>
    <t>All 3 validation gates passed for 2 consecutive weeks. Ready for cloud migration.</t>
  </si>
  <si>
    <t>PHASE 4 Summary</t>
  </si>
  <si>
    <t>Total tasks: 12</t>
  </si>
  <si>
    <t>PHASE 5 — Cloud Migration &amp; Go Live  |  Days 98+</t>
  </si>
  <si>
    <t>Goal: Bot running 24/7 on Hetzner cloud server, live trading with real money</t>
  </si>
  <si>
    <t>Hetzner server setup</t>
  </si>
  <si>
    <t>P5-01</t>
  </si>
  <si>
    <t>[HIG]  Register at hetzner.com</t>
  </si>
  <si>
    <t>Create an account. No upfront payment for registration.</t>
  </si>
  <si>
    <t>P5-02</t>
  </si>
  <si>
    <t>[HIG]  Create a CX22 server</t>
  </si>
  <si>
    <t>2 vCPU, 4GB RAM, 40GB SSD, Ubuntu 22.04. Choose Frankfurt or Helsinki datacenter.</t>
  </si>
  <si>
    <t>P5-03</t>
  </si>
  <si>
    <t>[HIG]  Set up SSH key for secure access</t>
  </si>
  <si>
    <t>Claude walks you through generating an SSH key pair on Windows PowerShell</t>
  </si>
  <si>
    <t>P5-04</t>
  </si>
  <si>
    <t>[HIG]  Connect to server from PowerShell</t>
  </si>
  <si>
    <t>Run:  ssh root@YOUR_SERVER_IP  — you should see the Ubuntu command prompt</t>
  </si>
  <si>
    <t>P5-05</t>
  </si>
  <si>
    <t>[HIG]  Install Python 3.12, Git, Docker on the server</t>
  </si>
  <si>
    <t>Claude gives you the exact Ubuntu commands. Takes about 10 minutes.</t>
  </si>
  <si>
    <t>P5-06</t>
  </si>
  <si>
    <t>[HIG]  Clone project on the server</t>
  </si>
  <si>
    <t>Same git clone command as Phase 1, but now run on the cloud server</t>
  </si>
  <si>
    <t>P5-07</t>
  </si>
  <si>
    <t>[CRI]  Set up .env with REAL production API keys on server</t>
  </si>
  <si>
    <t>Use REAL Delta Exchange API keys (NOT testnet). Enable IP whitelist to server IP.</t>
  </si>
  <si>
    <t>P5-08</t>
  </si>
  <si>
    <t>[CRI]  Enable IP whitelisting for API keys on Delta Exchange</t>
  </si>
  <si>
    <t>In Delta Exchange account settings, restrict your API key to the server's static IP</t>
  </si>
  <si>
    <t>P5-09</t>
  </si>
  <si>
    <t>[CRI]  Run live preflight check — must pass ALL checks</t>
  </si>
  <si>
    <t>Run:  poetry run python scripts/live_preflight.py  — all items must show green</t>
  </si>
  <si>
    <t>Going live — take it slow</t>
  </si>
  <si>
    <t>P5-10</t>
  </si>
  <si>
    <t>[CRI]  Start in paper mode on cloud server first</t>
  </si>
  <si>
    <t>Confirm the server runs the bot identically to your local machine</t>
  </si>
  <si>
    <t>P5-11</t>
  </si>
  <si>
    <t>[CRI]  Paper mode passes on cloud server for 48 hours</t>
  </si>
  <si>
    <t>No errors, normal signal generation, Grafana data flowing from cloud</t>
  </si>
  <si>
    <t>P5-12</t>
  </si>
  <si>
    <t>[CRI]  Set DELTA_MODE=live and DELTA_ORDER_SIZE=50 in .env</t>
  </si>
  <si>
    <t>START SMALL: half your normal order size for the first week of live trading</t>
  </si>
  <si>
    <t>P5-13</t>
  </si>
  <si>
    <t>[CRI]  Start live bot running in background on server</t>
  </si>
  <si>
    <t>Run:  nohup poetry run python scripts/run_bot.py --mode live &amp;</t>
  </si>
  <si>
    <t>P5-14</t>
  </si>
  <si>
    <t>[CRI]  Monitor Grafana intensively for first 4 hours</t>
  </si>
  <si>
    <t>Watch every metric. Confirm first real trade shows in your Delta Exchange account.</t>
  </si>
  <si>
    <t>P5-15</t>
  </si>
  <si>
    <t>[CRI]  Confirm first live trade executes correctly</t>
  </si>
  <si>
    <t>Check Delta Exchange account for position. Verify size, side, and price are correct.</t>
  </si>
  <si>
    <t>P5-16</t>
  </si>
  <si>
    <t>[HIG]  Set up systemd service for auto-restart on server reboot</t>
  </si>
  <si>
    <t>Claude writes the service file. Bot restarts automatically if the server reboots.</t>
  </si>
  <si>
    <t>P5-17</t>
  </si>
  <si>
    <t>[HIG]  Set up Telegram alerts for critical events</t>
  </si>
  <si>
    <t>Claude sets up alerts for: drawdown &gt; 3%, kill-switch triggered, position mismatch</t>
  </si>
  <si>
    <t>P5-18</t>
  </si>
  <si>
    <t>[MED]  Increase order size after first 2 weeks of clean live trading</t>
  </si>
  <si>
    <t>Only increase from $50 to $100 after seeing 2 clean weeks of live performance</t>
  </si>
  <si>
    <t>P5-19</t>
  </si>
  <si>
    <t>[CRI]  ✅  PHASE 5 COMPLETE — Production live trading system</t>
  </si>
  <si>
    <t>Bot running 24/7, live trading, Grafana monitoring, Telegram alerts active.</t>
  </si>
  <si>
    <t>PHASE 5 Summary</t>
  </si>
  <si>
    <t>Total tasks: 19</t>
  </si>
  <si>
    <t>✅ Done</t>
  </si>
  <si>
    <t>⚙ In Progress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</si>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</sst>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Calibri"/>
      <family val="2"/>
      <charset val="1"/>
    </font>
    <font>
      <b/>
      <sz val="18"/>
      <color rgb="FFFFFFFF"/>
      <name val="Arial"/>
      <family val="2"/>
    </font>
    <font>
      <i/>
      <sz val="10"/>
      <color rgb="FF808080"/>
      <name val="Arial"/>
      <family val="2"/>
    </font>
    <font>
      <b/>
      <sz val="10"/>
      <color rgb="FFFFFFFF"/>
      <name val="Arial"/>
      <family val="2"/>
    </font>
    <font>
      <b/>
      <sz val="10"/>
      <color rgb="FF27500A"/>
      <name val="Arial"/>
      <family val="2"/>
    </font>
    <font>
      <sz val="10"/>
      <color rgb="FF27500A"/>
      <name val="Arial"/>
      <family val="2"/>
    </font>
    <font>
      <b/>
      <sz val="10"/>
      <color rgb="FF854F0B"/>
      <name val="Arial"/>
      <family val="2"/>
    </font>
    <font>
      <sz val="10"/>
      <color rgb="FF854F0B"/>
      <name val="Arial"/>
      <family val="2"/>
    </font>
    <font>
      <b/>
      <sz val="10"/>
      <color rgb="FF2E75B6"/>
      <name val="Arial"/>
      <family val="2"/>
    </font>
    <font>
      <sz val="10"/>
      <color rgb="FF2E75B6"/>
      <name val="Arial"/>
      <family val="2"/>
    </font>
    <font>
      <b/>
      <sz val="10"/>
      <color rgb="FF3C3489"/>
      <name val="Arial"/>
      <family val="2"/>
    </font>
    <font>
      <sz val="10"/>
      <color rgb="FF3C3489"/>
      <name val="Arial"/>
      <family val="2"/>
    </font>
    <font>
      <b/>
      <sz val="10"/>
      <color rgb="FF0F6E56"/>
      <name val="Arial"/>
      <family val="2"/>
    </font>
    <font>
      <sz val="10"/>
      <color rgb="FF0F6E56"/>
      <name val="Arial"/>
      <family val="2"/>
    </font>
    <font>
      <b/>
      <sz val="11"/>
      <color rgb="FFFFFFFF"/>
      <name val="Arial"/>
      <family val="2"/>
    </font>
    <font>
      <sz val="10"/>
      <color rgb="FF404040"/>
      <name val="Arial"/>
      <family val="2"/>
    </font>
    <font>
      <b/>
      <sz val="10"/>
      <color rgb="FF791F1F"/>
      <name val="Arial"/>
      <family val="2"/>
    </font>
    <font>
      <b/>
      <sz val="14"/>
      <color rgb="FFFFFFFF"/>
      <name val="Arial"/>
      <family val="2"/>
    </font>
    <font>
      <i/>
      <sz val="10"/>
      <color rgb="FF27500A"/>
      <name val="Arial"/>
      <family val="2"/>
    </font>
    <font>
      <b/>
      <sz val="9"/>
      <color rgb="FF27500A"/>
      <name val="Courier New"/>
      <family val="3"/>
    </font>
    <font>
      <sz val="9"/>
      <color rgb="FF404040"/>
      <name val="Arial"/>
      <family val="2"/>
    </font>
    <font>
      <sz val="10"/>
      <color rgb="FF808080"/>
      <name val="Arial"/>
      <family val="2"/>
    </font>
    <font>
      <b/>
      <sz val="10"/>
      <color rgb="FF808080"/>
      <name val="Arial"/>
      <family val="2"/>
    </font>
    <font>
      <i/>
      <sz val="10"/>
      <color rgb="FF854F0B"/>
      <name val="Arial"/>
      <family val="2"/>
    </font>
    <font>
      <b/>
      <sz val="9"/>
      <color rgb="FF854F0B"/>
      <name val="Courier New"/>
      <family val="3"/>
    </font>
    <font>
      <i/>
      <sz val="10"/>
      <color rgb="FF2E75B6"/>
      <name val="Arial"/>
      <family val="2"/>
    </font>
    <font>
      <b/>
      <sz val="9"/>
      <color rgb="FF2E75B6"/>
      <name val="Courier New"/>
      <family val="3"/>
    </font>
    <font>
      <i/>
      <sz val="10"/>
      <color rgb="FF3C3489"/>
      <name val="Arial"/>
      <family val="2"/>
    </font>
    <font>
      <b/>
      <sz val="9"/>
      <color rgb="FF3C3489"/>
      <name val="Courier New"/>
      <family val="3"/>
    </font>
    <font>
      <i/>
      <sz val="10"/>
      <color rgb="FF0F6E56"/>
      <name val="Arial"/>
      <family val="2"/>
    </font>
    <font>
      <b/>
      <sz val="9"/>
      <color rgb="FF0F6E56"/>
      <name val="Courier New"/>
      <family val="3"/>
    </font>
  </fonts>
  <fills count="19">
    <fill>
      <patternFill patternType="none"/>
    </fill>
    <fill>
      <patternFill patternType="gray125"/>
    </fill>
    <fill>
      <patternFill patternType="solid">
        <fgColor rgb="FF1F4E79"/>
        <bgColor rgb="FF3C3489"/>
      </patternFill>
    </fill>
    <fill>
      <patternFill patternType="solid">
        <fgColor rgb="FFEBF3FB"/>
        <bgColor rgb="FFF2F2F2"/>
      </patternFill>
    </fill>
    <fill>
      <patternFill patternType="solid">
        <fgColor rgb="FFEAF3DE"/>
        <bgColor rgb="FFE1F5EE"/>
      </patternFill>
    </fill>
    <fill>
      <patternFill patternType="solid">
        <fgColor rgb="FFFFF2CC"/>
        <bgColor rgb="FFFCE4D6"/>
      </patternFill>
    </fill>
    <fill>
      <patternFill patternType="solid">
        <fgColor rgb="FFD6E4F0"/>
        <bgColor rgb="FFE1F5EE"/>
      </patternFill>
    </fill>
    <fill>
      <patternFill patternType="solid">
        <fgColor rgb="FFEEEDFE"/>
        <bgColor rgb="FFEBF3FB"/>
      </patternFill>
    </fill>
    <fill>
      <patternFill patternType="solid">
        <fgColor rgb="FFE1F5EE"/>
        <bgColor rgb="FFEBF3FB"/>
      </patternFill>
    </fill>
    <fill>
      <patternFill patternType="solid">
        <fgColor rgb="FF2E75B6"/>
        <bgColor rgb="FF0066CC"/>
      </patternFill>
    </fill>
    <fill>
      <patternFill patternType="solid">
        <fgColor rgb="FFF8F8F8"/>
        <bgColor rgb="FFF2F2F2"/>
      </patternFill>
    </fill>
    <fill>
      <patternFill patternType="solid">
        <fgColor rgb="FFFFFFFF"/>
        <bgColor rgb="FFF8F8F8"/>
      </patternFill>
    </fill>
    <fill>
      <patternFill patternType="solid">
        <fgColor rgb="FFFCE4D6"/>
        <bgColor rgb="FFFFF2CC"/>
      </patternFill>
    </fill>
    <fill>
      <patternFill patternType="solid">
        <fgColor rgb="FF27500A"/>
        <bgColor rgb="FF404040"/>
      </patternFill>
    </fill>
    <fill>
      <patternFill patternType="solid">
        <fgColor rgb="FF404040"/>
        <bgColor rgb="FF27500A"/>
      </patternFill>
    </fill>
    <fill>
      <patternFill patternType="solid">
        <fgColor rgb="FFF2F2F2"/>
        <bgColor rgb="FFEBF3FB"/>
      </patternFill>
    </fill>
    <fill>
      <patternFill patternType="solid">
        <fgColor rgb="FF854F0B"/>
        <bgColor rgb="FF808000"/>
      </patternFill>
    </fill>
    <fill>
      <patternFill patternType="solid">
        <fgColor rgb="FF3C3489"/>
        <bgColor rgb="FF404040"/>
      </patternFill>
    </fill>
    <fill>
      <patternFill patternType="solid">
        <fgColor rgb="FF0F6E56"/>
        <bgColor rgb="FF008080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medium">
        <color rgb="FF791F1F"/>
      </left>
      <right/>
      <top style="medium">
        <color rgb="FF791F1F"/>
      </top>
      <bottom style="medium">
        <color rgb="FF791F1F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3" fillId="16" borderId="2" xfId="0" applyFont="1" applyFill="1" applyBorder="1" applyAlignment="1">
      <alignment horizontal="center" vertical="center"/>
    </xf>
    <xf numFmtId="0" fontId="23" fillId="5" borderId="0" xfId="0" applyFont="1" applyFill="1" applyAlignment="1">
      <alignment horizontal="left" vertical="center" indent="1"/>
    </xf>
    <xf numFmtId="0" fontId="17" fillId="16" borderId="0" xfId="0" applyFont="1" applyFill="1" applyAlignment="1">
      <alignment horizontal="center" vertical="center"/>
    </xf>
    <xf numFmtId="0" fontId="3" fillId="13" borderId="2" xfId="0" applyFont="1" applyFill="1" applyBorder="1" applyAlignment="1">
      <alignment horizontal="center" vertical="center"/>
    </xf>
    <xf numFmtId="0" fontId="3" fillId="14" borderId="2" xfId="0" applyFont="1" applyFill="1" applyBorder="1" applyAlignment="1">
      <alignment horizontal="left" vertical="center" indent="1"/>
    </xf>
    <xf numFmtId="0" fontId="18" fillId="4" borderId="0" xfId="0" applyFont="1" applyFill="1" applyAlignment="1">
      <alignment horizontal="left" vertical="center" indent="1"/>
    </xf>
    <xf numFmtId="0" fontId="17" fillId="13" borderId="0" xfId="0" applyFont="1" applyFill="1" applyAlignment="1">
      <alignment horizontal="center" vertical="center"/>
    </xf>
    <xf numFmtId="0" fontId="16" fillId="12" borderId="3" xfId="0" applyFont="1" applyFill="1" applyBorder="1" applyAlignment="1">
      <alignment horizontal="center" vertical="center"/>
    </xf>
    <xf numFmtId="0" fontId="15" fillId="11" borderId="2" xfId="0" applyFont="1" applyFill="1" applyBorder="1" applyAlignment="1">
      <alignment horizontal="left" vertical="center" indent="1"/>
    </xf>
    <xf numFmtId="0" fontId="15" fillId="10" borderId="2" xfId="0" applyFont="1" applyFill="1" applyBorder="1" applyAlignment="1">
      <alignment horizontal="left" vertical="center" indent="1"/>
    </xf>
    <xf numFmtId="0" fontId="14" fillId="9" borderId="0" xfId="0" applyFont="1" applyFill="1" applyAlignment="1">
      <alignment horizontal="center" vertical="center"/>
    </xf>
    <xf numFmtId="0" fontId="14" fillId="2" borderId="2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9" fontId="4" fillId="4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center" vertical="center"/>
    </xf>
    <xf numFmtId="9" fontId="6" fillId="5" borderId="1" xfId="0" applyNumberFormat="1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center" vertical="center"/>
    </xf>
    <xf numFmtId="9" fontId="8" fillId="6" borderId="1" xfId="0" applyNumberFormat="1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left" vertical="center"/>
    </xf>
    <xf numFmtId="0" fontId="11" fillId="7" borderId="1" xfId="0" applyFont="1" applyFill="1" applyBorder="1" applyAlignment="1">
      <alignment horizontal="center" vertical="center"/>
    </xf>
    <xf numFmtId="9" fontId="10" fillId="7" borderId="1" xfId="0" applyNumberFormat="1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left" vertical="center"/>
    </xf>
    <xf numFmtId="0" fontId="13" fillId="8" borderId="1" xfId="0" applyFont="1" applyFill="1" applyBorder="1" applyAlignment="1">
      <alignment horizontal="center" vertical="center"/>
    </xf>
    <xf numFmtId="9" fontId="12" fillId="8" borderId="1" xfId="0" applyNumberFormat="1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9" fontId="14" fillId="2" borderId="1" xfId="0" applyNumberFormat="1" applyFont="1" applyFill="1" applyBorder="1" applyAlignment="1">
      <alignment horizontal="center" vertical="center"/>
    </xf>
    <xf numFmtId="0" fontId="3" fillId="14" borderId="1" xfId="0" applyFont="1" applyFill="1" applyBorder="1" applyAlignment="1">
      <alignment horizontal="center" vertical="center"/>
    </xf>
    <xf numFmtId="0" fontId="19" fillId="11" borderId="1" xfId="0" applyFont="1" applyFill="1" applyBorder="1" applyAlignment="1">
      <alignment horizontal="center" vertical="center"/>
    </xf>
    <xf numFmtId="0" fontId="16" fillId="12" borderId="1" xfId="0" applyFont="1" applyFill="1" applyBorder="1" applyAlignment="1">
      <alignment horizontal="left" vertical="center" wrapText="1" indent="1"/>
    </xf>
    <xf numFmtId="0" fontId="20" fillId="11" borderId="1" xfId="0" applyFont="1" applyFill="1" applyBorder="1" applyAlignment="1">
      <alignment horizontal="left" vertical="center" wrapText="1" indent="1"/>
    </xf>
    <xf numFmtId="0" fontId="21" fillId="11" borderId="1" xfId="0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left" vertical="center" wrapText="1" indent="1"/>
    </xf>
    <xf numFmtId="0" fontId="21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6" fillId="5" borderId="1" xfId="0" applyFont="1" applyFill="1" applyBorder="1" applyAlignment="1">
      <alignment horizontal="left" vertical="center" wrapText="1" indent="1"/>
    </xf>
    <xf numFmtId="0" fontId="8" fillId="6" borderId="1" xfId="0" applyFont="1" applyFill="1" applyBorder="1" applyAlignment="1">
      <alignment horizontal="left" vertical="center" wrapText="1" indent="1"/>
    </xf>
    <xf numFmtId="0" fontId="22" fillId="15" borderId="1" xfId="0" applyFont="1" applyFill="1" applyBorder="1" applyAlignment="1">
      <alignment horizontal="left" vertical="center" wrapText="1" indent="1"/>
    </xf>
    <xf numFmtId="0" fontId="3" fillId="13" borderId="1" xfId="0" applyFont="1" applyFill="1" applyBorder="1" applyAlignment="1">
      <alignment horizontal="center" vertical="center"/>
    </xf>
    <xf numFmtId="0" fontId="24" fillId="11" borderId="1" xfId="0" applyFont="1" applyFill="1" applyBorder="1" applyAlignment="1">
      <alignment horizontal="center" vertical="center"/>
    </xf>
    <xf numFmtId="0" fontId="24" fillId="5" borderId="1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left" vertical="center" wrapText="1" indent="1"/>
    </xf>
    <xf numFmtId="0" fontId="21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0" fontId="26" fillId="11" borderId="1" xfId="0" applyFont="1" applyFill="1" applyBorder="1" applyAlignment="1">
      <alignment horizontal="center" vertical="center"/>
    </xf>
    <xf numFmtId="0" fontId="26" fillId="6" borderId="1" xfId="0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left" vertical="center" wrapText="1" indent="1"/>
    </xf>
    <xf numFmtId="0" fontId="21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28" fillId="11" borderId="1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0" fillId="7" borderId="1" xfId="0" applyFont="1" applyFill="1" applyBorder="1" applyAlignment="1">
      <alignment horizontal="left" vertical="center" wrapText="1" indent="1"/>
    </xf>
    <xf numFmtId="0" fontId="21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3" fillId="17" borderId="1" xfId="0" applyFont="1" applyFill="1" applyBorder="1" applyAlignment="1">
      <alignment horizontal="center" vertical="center"/>
    </xf>
    <xf numFmtId="0" fontId="30" fillId="11" borderId="1" xfId="0" applyFont="1" applyFill="1" applyBorder="1" applyAlignment="1">
      <alignment horizontal="center" vertical="center"/>
    </xf>
    <xf numFmtId="0" fontId="30" fillId="8" borderId="1" xfId="0" applyFont="1" applyFill="1" applyBorder="1" applyAlignment="1">
      <alignment horizontal="center" vertical="center"/>
    </xf>
    <xf numFmtId="0" fontId="20" fillId="8" borderId="1" xfId="0" applyFont="1" applyFill="1" applyBorder="1" applyAlignment="1">
      <alignment horizontal="left" vertical="center" wrapText="1" indent="1"/>
    </xf>
    <xf numFmtId="0" fontId="21" fillId="8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17" fillId="9" borderId="0" xfId="0" applyFont="1" applyFill="1" applyAlignment="1">
      <alignment horizontal="center" vertical="center"/>
    </xf>
    <xf numFmtId="0" fontId="25" fillId="6" borderId="0" xfId="0" applyFont="1" applyFill="1" applyAlignment="1">
      <alignment horizontal="left" vertical="center" indent="1"/>
    </xf>
    <xf numFmtId="0" fontId="3" fillId="9" borderId="2" xfId="0" applyFont="1" applyFill="1" applyBorder="1" applyAlignment="1">
      <alignment horizontal="center" vertical="center"/>
    </xf>
    <xf numFmtId="0" fontId="17" fillId="17" borderId="0" xfId="0" applyFont="1" applyFill="1" applyAlignment="1">
      <alignment horizontal="center" vertical="center"/>
    </xf>
    <xf numFmtId="0" fontId="27" fillId="7" borderId="0" xfId="0" applyFont="1" applyFill="1" applyAlignment="1">
      <alignment horizontal="left" vertical="center" indent="1"/>
    </xf>
    <xf numFmtId="0" fontId="3" fillId="17" borderId="2" xfId="0" applyFont="1" applyFill="1" applyBorder="1" applyAlignment="1">
      <alignment horizontal="center" vertical="center"/>
    </xf>
    <xf numFmtId="0" fontId="17" fillId="18" borderId="0" xfId="0" applyFont="1" applyFill="1" applyAlignment="1">
      <alignment horizontal="center" vertical="center"/>
    </xf>
    <xf numFmtId="0" fontId="29" fillId="8" borderId="0" xfId="0" applyFont="1" applyFill="1" applyAlignment="1">
      <alignment horizontal="left" vertical="center" indent="1"/>
    </xf>
    <xf numFmtId="0" fontId="3" fillId="18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91F1F"/>
      <rgbColor rgb="FF008000"/>
      <rgbColor rgb="FF000080"/>
      <rgbColor rgb="FF808000"/>
      <rgbColor rgb="FF800080"/>
      <rgbColor rgb="FF0F6E56"/>
      <rgbColor rgb="FFCCCCCC"/>
      <rgbColor rgb="FF808080"/>
      <rgbColor rgb="FF9999FF"/>
      <rgbColor rgb="FF993366"/>
      <rgbColor rgb="FFFFF2CC"/>
      <rgbColor rgb="FFE1F5EE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3FB"/>
      <rgbColor rgb="FFEAF3DE"/>
      <rgbColor rgb="FFF2F2F2"/>
      <rgbColor rgb="FFEEEDFE"/>
      <rgbColor rgb="FFF8F8F8"/>
      <rgbColor rgb="FFCC99FF"/>
      <rgbColor rgb="FFFCE4D6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F4E79"/>
      <rgbColor rgb="FF339966"/>
      <rgbColor rgb="FF003300"/>
      <rgbColor rgb="FF27500A"/>
      <rgbColor rgb="FF854F0B"/>
      <rgbColor rgb="FF993366"/>
      <rgbColor rgb="FF3C348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B2:G22"/>
  <sheetViews>
    <sheetView showGridLines="0" zoomScaleNormal="100" workbookViewId="0"/>
  </sheetViews>
  <sheetFormatPr defaultColWidth="8.6640625" defaultRowHeight="14.4" x14ac:dyDescent="0.3"/>
  <cols>
    <col min="1" max="1" width="3" customWidth="1"/>
    <col min="2" max="2" width="22" customWidth="1"/>
    <col min="3" max="7" width="16" customWidth="1"/>
    <col min="8" max="8" width="3" customWidth="1"/>
  </cols>
  <sheetData>
    <row r="2" spans="2:7" ht="27.75" customHeight="1" x14ac:dyDescent="0.3">
      <c r="B2" s="14" t="s">
        <v>0</v>
      </c>
      <c r="C2" s="14"/>
      <c r="D2" s="14"/>
      <c r="E2" s="14"/>
      <c r="F2" s="14"/>
      <c r="G2" s="14"/>
    </row>
    <row r="3" spans="2:7" ht="9.75" customHeight="1" x14ac:dyDescent="0.3">
      <c r="B3" s="14"/>
      <c r="C3" s="14"/>
      <c r="D3" s="14"/>
      <c r="E3" s="14"/>
      <c r="F3" s="14"/>
      <c r="G3" s="14"/>
    </row>
    <row r="4" spans="2:7" ht="15.75" customHeight="1" x14ac:dyDescent="0.3">
      <c r="B4" s="13" t="s">
        <v>1</v>
      </c>
      <c r="C4" s="13"/>
      <c r="D4" s="13"/>
      <c r="E4" s="13"/>
      <c r="F4" s="13"/>
      <c r="G4" s="13"/>
    </row>
    <row r="6" spans="2:7" ht="19.5" customHeight="1" x14ac:dyDescent="0.3">
      <c r="B6" s="15" t="s">
        <v>2</v>
      </c>
      <c r="C6" s="15" t="s">
        <v>3</v>
      </c>
      <c r="D6" s="15" t="s">
        <v>4</v>
      </c>
      <c r="E6" s="15" t="s">
        <v>5</v>
      </c>
      <c r="F6" s="15" t="s">
        <v>6</v>
      </c>
      <c r="G6" s="15" t="s">
        <v>7</v>
      </c>
    </row>
    <row r="7" spans="2:7" ht="21.75" customHeight="1" x14ac:dyDescent="0.3">
      <c r="B7" s="16" t="s">
        <v>8</v>
      </c>
      <c r="C7" s="17" t="s">
        <v>9</v>
      </c>
      <c r="D7" s="18" t="s">
        <v>10</v>
      </c>
      <c r="E7" s="18">
        <v>27</v>
      </c>
      <c r="F7" s="16">
        <f>'🚀 Phase 1 — Setup'!E44</f>
        <v>26</v>
      </c>
      <c r="G7" s="19">
        <f>F7/27</f>
        <v>0.96296296296296291</v>
      </c>
    </row>
    <row r="8" spans="2:7" ht="21.75" customHeight="1" x14ac:dyDescent="0.3">
      <c r="B8" s="20" t="s">
        <v>11</v>
      </c>
      <c r="C8" s="21" t="s">
        <v>12</v>
      </c>
      <c r="D8" s="22" t="s">
        <v>13</v>
      </c>
      <c r="E8" s="22">
        <v>30</v>
      </c>
      <c r="F8" s="20">
        <f>'🔧 Phase 2 — Fixes'!E51</f>
        <v>0</v>
      </c>
      <c r="G8" s="23">
        <f>F8/30</f>
        <v>0</v>
      </c>
    </row>
    <row r="9" spans="2:7" ht="21.75" customHeight="1" x14ac:dyDescent="0.3">
      <c r="B9" s="24" t="s">
        <v>14</v>
      </c>
      <c r="C9" s="25" t="s">
        <v>15</v>
      </c>
      <c r="D9" s="26" t="s">
        <v>16</v>
      </c>
      <c r="E9" s="26">
        <v>31</v>
      </c>
      <c r="F9" s="24">
        <f>'📈 Phase 3 — Strategies'!E56</f>
        <v>0</v>
      </c>
      <c r="G9" s="27">
        <f>F9/31</f>
        <v>0</v>
      </c>
    </row>
    <row r="10" spans="2:7" ht="21.75" customHeight="1" x14ac:dyDescent="0.3">
      <c r="B10" s="28" t="s">
        <v>17</v>
      </c>
      <c r="C10" s="29" t="s">
        <v>18</v>
      </c>
      <c r="D10" s="30" t="s">
        <v>19</v>
      </c>
      <c r="E10" s="30">
        <v>12</v>
      </c>
      <c r="F10" s="28">
        <f>'🧪 Phase 4 — Validation'!E23</f>
        <v>0</v>
      </c>
      <c r="G10" s="31">
        <f>F10/12</f>
        <v>0</v>
      </c>
    </row>
    <row r="11" spans="2:7" ht="21.75" customHeight="1" x14ac:dyDescent="0.3">
      <c r="B11" s="32" t="s">
        <v>20</v>
      </c>
      <c r="C11" s="33" t="s">
        <v>21</v>
      </c>
      <c r="D11" s="34" t="s">
        <v>22</v>
      </c>
      <c r="E11" s="34">
        <v>19</v>
      </c>
      <c r="F11" s="32">
        <f>'☁️ Phase 5 — Go Live'!E30</f>
        <v>0</v>
      </c>
      <c r="G11" s="35">
        <f>F11/19</f>
        <v>0</v>
      </c>
    </row>
    <row r="12" spans="2:7" ht="21.75" customHeight="1" x14ac:dyDescent="0.3">
      <c r="B12" s="12" t="s">
        <v>23</v>
      </c>
      <c r="C12" s="12"/>
      <c r="D12" s="12"/>
      <c r="E12" s="36">
        <v>119</v>
      </c>
    </row>
    <row r="13" spans="2:7" x14ac:dyDescent="0.3">
      <c r="F13" s="36">
        <f>F7+F8+F9+F10+F11</f>
        <v>26</v>
      </c>
      <c r="G13" s="37">
        <f>F13/119</f>
        <v>0.21848739495798319</v>
      </c>
    </row>
    <row r="14" spans="2:7" ht="18" customHeight="1" x14ac:dyDescent="0.3">
      <c r="B14" s="11" t="s">
        <v>24</v>
      </c>
      <c r="C14" s="11"/>
      <c r="D14" s="11"/>
      <c r="E14" s="11"/>
      <c r="F14" s="11"/>
      <c r="G14" s="11"/>
    </row>
    <row r="15" spans="2:7" ht="15.75" customHeight="1" x14ac:dyDescent="0.3">
      <c r="B15" s="10" t="s">
        <v>25</v>
      </c>
      <c r="C15" s="10"/>
      <c r="D15" s="10"/>
      <c r="E15" s="10"/>
      <c r="F15" s="10"/>
      <c r="G15" s="10"/>
    </row>
    <row r="16" spans="2:7" ht="15.75" customHeight="1" x14ac:dyDescent="0.3">
      <c r="B16" s="9" t="s">
        <v>26</v>
      </c>
      <c r="C16" s="9"/>
      <c r="D16" s="9"/>
      <c r="E16" s="9"/>
      <c r="F16" s="9"/>
      <c r="G16" s="9"/>
    </row>
    <row r="17" spans="2:7" ht="15.75" customHeight="1" x14ac:dyDescent="0.3">
      <c r="B17" s="10" t="s">
        <v>27</v>
      </c>
      <c r="C17" s="10"/>
      <c r="D17" s="10"/>
      <c r="E17" s="10"/>
      <c r="F17" s="10"/>
      <c r="G17" s="10"/>
    </row>
    <row r="18" spans="2:7" ht="15.75" customHeight="1" x14ac:dyDescent="0.3">
      <c r="B18" s="9" t="s">
        <v>28</v>
      </c>
      <c r="C18" s="9"/>
      <c r="D18" s="9"/>
      <c r="E18" s="9"/>
      <c r="F18" s="9"/>
      <c r="G18" s="9"/>
    </row>
    <row r="19" spans="2:7" ht="15.75" customHeight="1" x14ac:dyDescent="0.3">
      <c r="B19" s="10" t="s">
        <v>29</v>
      </c>
      <c r="C19" s="10"/>
      <c r="D19" s="10"/>
      <c r="E19" s="10"/>
      <c r="F19" s="10"/>
      <c r="G19" s="10"/>
    </row>
    <row r="20" spans="2:7" ht="15.75" customHeight="1" x14ac:dyDescent="0.3">
      <c r="B20" s="9" t="s">
        <v>30</v>
      </c>
      <c r="C20" s="9"/>
      <c r="D20" s="9"/>
      <c r="E20" s="9"/>
      <c r="F20" s="9"/>
      <c r="G20" s="9"/>
    </row>
    <row r="22" spans="2:7" ht="19.5" customHeight="1" x14ac:dyDescent="0.3">
      <c r="B22" s="8" t="s">
        <v>31</v>
      </c>
      <c r="C22" s="8"/>
      <c r="D22" s="8"/>
      <c r="E22" s="8"/>
      <c r="F22" s="8"/>
      <c r="G22" s="8"/>
    </row>
  </sheetData>
  <mergeCells count="11">
    <mergeCell ref="B22:G22"/>
    <mergeCell ref="B16:G16"/>
    <mergeCell ref="B17:G17"/>
    <mergeCell ref="B18:G18"/>
    <mergeCell ref="B19:G19"/>
    <mergeCell ref="B20:G20"/>
    <mergeCell ref="B2:G3"/>
    <mergeCell ref="B4:G4"/>
    <mergeCell ref="B12:D12"/>
    <mergeCell ref="B14:G14"/>
    <mergeCell ref="B15:G1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7500A"/>
  </sheetPr>
  <dimension ref="B2:F44"/>
  <sheetViews>
    <sheetView showGridLines="0" tabSelected="1" zoomScaleNormal="100" workbookViewId="0">
      <pane xSplit="2" ySplit="3" topLeftCell="C33" activePane="bottomRight" state="frozen"/>
      <selection pane="topRight" activeCell="C1" sqref="C1"/>
      <selection pane="bottomLeft" activeCell="A4" sqref="A4"/>
      <selection pane="bottomRight" activeCell="E48" sqref="E48"/>
    </sheetView>
  </sheetViews>
  <sheetFormatPr defaultColWidth="8.6640625" defaultRowHeight="14.4" x14ac:dyDescent="0.3"/>
  <cols>
    <col min="1" max="1" width="3" customWidth="1"/>
    <col min="2" max="2" width="10" customWidth="1"/>
    <col min="3" max="3" width="40" customWidth="1"/>
    <col min="4" max="4" width="58" customWidth="1"/>
    <col min="5" max="5" width="18" customWidth="1"/>
    <col min="6" max="6" width="14" customWidth="1"/>
    <col min="7" max="7" width="3" customWidth="1"/>
  </cols>
  <sheetData>
    <row r="2" spans="2:6" ht="25.5" customHeight="1" x14ac:dyDescent="0.3">
      <c r="B2" s="7" t="s">
        <v>32</v>
      </c>
      <c r="C2" s="7"/>
      <c r="D2" s="7"/>
      <c r="E2" s="7"/>
      <c r="F2" s="7"/>
    </row>
    <row r="3" spans="2:6" ht="7.5" customHeight="1" x14ac:dyDescent="0.3">
      <c r="B3" s="7"/>
      <c r="C3" s="7"/>
      <c r="D3" s="7"/>
      <c r="E3" s="7"/>
      <c r="F3" s="7"/>
    </row>
    <row r="4" spans="2:6" ht="15.75" customHeight="1" x14ac:dyDescent="0.3">
      <c r="B4" s="6" t="s">
        <v>33</v>
      </c>
      <c r="C4" s="6"/>
      <c r="D4" s="6"/>
      <c r="E4" s="6"/>
      <c r="F4" s="6"/>
    </row>
    <row r="5" spans="2:6" ht="19.5" customHeight="1" x14ac:dyDescent="0.3">
      <c r="B5" s="38" t="s">
        <v>34</v>
      </c>
      <c r="C5" s="38" t="s">
        <v>35</v>
      </c>
      <c r="D5" s="38" t="s">
        <v>36</v>
      </c>
      <c r="E5" s="38" t="s">
        <v>37</v>
      </c>
      <c r="F5" s="38" t="s">
        <v>38</v>
      </c>
    </row>
    <row r="6" spans="2:6" ht="16.5" customHeight="1" x14ac:dyDescent="0.3">
      <c r="B6" s="5" t="s">
        <v>39</v>
      </c>
      <c r="C6" s="5"/>
      <c r="D6" s="5"/>
      <c r="E6" s="5"/>
      <c r="F6" s="5"/>
    </row>
    <row r="7" spans="2:6" ht="30" customHeight="1" x14ac:dyDescent="0.3">
      <c r="B7" s="39" t="s">
        <v>40</v>
      </c>
      <c r="C7" s="40" t="s">
        <v>41</v>
      </c>
      <c r="D7" s="41" t="s">
        <v>42</v>
      </c>
      <c r="E7" s="42" t="s">
        <v>438</v>
      </c>
      <c r="F7" s="43"/>
    </row>
    <row r="8" spans="2:6" ht="30" customHeight="1" x14ac:dyDescent="0.3">
      <c r="B8" s="44" t="s">
        <v>44</v>
      </c>
      <c r="C8" s="40" t="s">
        <v>45</v>
      </c>
      <c r="D8" s="45" t="s">
        <v>46</v>
      </c>
      <c r="E8" s="46" t="s">
        <v>438</v>
      </c>
      <c r="F8" s="47"/>
    </row>
    <row r="9" spans="2:6" ht="30" customHeight="1" x14ac:dyDescent="0.3">
      <c r="B9" s="39" t="s">
        <v>47</v>
      </c>
      <c r="C9" s="40" t="s">
        <v>48</v>
      </c>
      <c r="D9" s="41" t="s">
        <v>49</v>
      </c>
      <c r="E9" s="42" t="s">
        <v>438</v>
      </c>
      <c r="F9" s="43"/>
    </row>
    <row r="10" spans="2:6" ht="30" customHeight="1" x14ac:dyDescent="0.3">
      <c r="B10" s="44" t="s">
        <v>50</v>
      </c>
      <c r="C10" s="40" t="s">
        <v>51</v>
      </c>
      <c r="D10" s="45" t="s">
        <v>52</v>
      </c>
      <c r="E10" s="46" t="s">
        <v>438</v>
      </c>
      <c r="F10" s="47"/>
    </row>
    <row r="11" spans="2:6" ht="6" customHeight="1" x14ac:dyDescent="0.3"/>
    <row r="12" spans="2:6" ht="16.5" customHeight="1" x14ac:dyDescent="0.3">
      <c r="B12" s="5" t="s">
        <v>53</v>
      </c>
      <c r="C12" s="5"/>
      <c r="D12" s="5"/>
      <c r="E12" s="5"/>
      <c r="F12" s="5"/>
    </row>
    <row r="13" spans="2:6" ht="30" customHeight="1" x14ac:dyDescent="0.3">
      <c r="B13" s="39" t="s">
        <v>54</v>
      </c>
      <c r="C13" s="48" t="s">
        <v>55</v>
      </c>
      <c r="D13" s="41" t="s">
        <v>56</v>
      </c>
      <c r="E13" s="42" t="s">
        <v>438</v>
      </c>
      <c r="F13" s="43"/>
    </row>
    <row r="14" spans="2:6" ht="30" customHeight="1" x14ac:dyDescent="0.3">
      <c r="B14" s="44" t="s">
        <v>57</v>
      </c>
      <c r="C14" s="48" t="s">
        <v>58</v>
      </c>
      <c r="D14" s="45" t="s">
        <v>59</v>
      </c>
      <c r="E14" s="46" t="s">
        <v>438</v>
      </c>
      <c r="F14" s="47"/>
    </row>
    <row r="15" spans="2:6" ht="30" customHeight="1" x14ac:dyDescent="0.3">
      <c r="B15" s="39" t="s">
        <v>60</v>
      </c>
      <c r="C15" s="48" t="s">
        <v>61</v>
      </c>
      <c r="D15" s="41" t="s">
        <v>62</v>
      </c>
      <c r="E15" s="42" t="s">
        <v>438</v>
      </c>
      <c r="F15" s="43"/>
    </row>
    <row r="16" spans="2:6" ht="30" customHeight="1" x14ac:dyDescent="0.3">
      <c r="B16" s="44" t="s">
        <v>63</v>
      </c>
      <c r="C16" s="48" t="s">
        <v>64</v>
      </c>
      <c r="D16" s="45" t="s">
        <v>65</v>
      </c>
      <c r="E16" s="46" t="s">
        <v>438</v>
      </c>
      <c r="F16" s="47"/>
    </row>
    <row r="17" spans="2:6" ht="30" customHeight="1" x14ac:dyDescent="0.3">
      <c r="B17" s="39" t="s">
        <v>66</v>
      </c>
      <c r="C17" s="40" t="s">
        <v>67</v>
      </c>
      <c r="D17" s="41" t="s">
        <v>68</v>
      </c>
      <c r="E17" s="42" t="s">
        <v>438</v>
      </c>
      <c r="F17" s="43"/>
    </row>
    <row r="18" spans="2:6" ht="30" customHeight="1" x14ac:dyDescent="0.3">
      <c r="B18" s="44" t="s">
        <v>69</v>
      </c>
      <c r="C18" s="48" t="s">
        <v>70</v>
      </c>
      <c r="D18" s="45" t="s">
        <v>71</v>
      </c>
      <c r="E18" s="46" t="s">
        <v>438</v>
      </c>
      <c r="F18" s="47"/>
    </row>
    <row r="19" spans="2:6" ht="6" customHeight="1" x14ac:dyDescent="0.3"/>
    <row r="20" spans="2:6" ht="16.5" customHeight="1" x14ac:dyDescent="0.3">
      <c r="B20" s="5" t="s">
        <v>72</v>
      </c>
      <c r="C20" s="5"/>
      <c r="D20" s="5"/>
      <c r="E20" s="5"/>
      <c r="F20" s="5"/>
    </row>
    <row r="21" spans="2:6" ht="30" customHeight="1" x14ac:dyDescent="0.3">
      <c r="B21" s="39" t="s">
        <v>73</v>
      </c>
      <c r="C21" s="40" t="s">
        <v>74</v>
      </c>
      <c r="D21" s="41" t="s">
        <v>75</v>
      </c>
      <c r="E21" s="42" t="s">
        <v>438</v>
      </c>
      <c r="F21" s="43"/>
    </row>
    <row r="22" spans="2:6" ht="30" customHeight="1" x14ac:dyDescent="0.3">
      <c r="B22" s="44" t="s">
        <v>76</v>
      </c>
      <c r="C22" s="40" t="s">
        <v>77</v>
      </c>
      <c r="D22" s="45" t="s">
        <v>78</v>
      </c>
      <c r="E22" s="46" t="s">
        <v>438</v>
      </c>
      <c r="F22" s="47"/>
    </row>
    <row r="23" spans="2:6" ht="30" customHeight="1" x14ac:dyDescent="0.3">
      <c r="B23" s="39" t="s">
        <v>79</v>
      </c>
      <c r="C23" s="40" t="s">
        <v>80</v>
      </c>
      <c r="D23" s="41" t="s">
        <v>81</v>
      </c>
      <c r="E23" s="42" t="s">
        <v>438</v>
      </c>
      <c r="F23" s="43"/>
    </row>
    <row r="24" spans="2:6" ht="30" customHeight="1" x14ac:dyDescent="0.3">
      <c r="B24" s="44" t="s">
        <v>82</v>
      </c>
      <c r="C24" s="40" t="s">
        <v>83</v>
      </c>
      <c r="D24" s="45" t="s">
        <v>84</v>
      </c>
      <c r="E24" s="46" t="s">
        <v>438</v>
      </c>
      <c r="F24" s="47"/>
    </row>
    <row r="25" spans="2:6" ht="30" customHeight="1" x14ac:dyDescent="0.3">
      <c r="B25" s="39" t="s">
        <v>85</v>
      </c>
      <c r="C25" s="48" t="s">
        <v>86</v>
      </c>
      <c r="D25" s="41" t="s">
        <v>87</v>
      </c>
      <c r="E25" s="42" t="s">
        <v>438</v>
      </c>
      <c r="F25" s="43"/>
    </row>
    <row r="26" spans="2:6" ht="30" customHeight="1" x14ac:dyDescent="0.3">
      <c r="B26" s="44" t="s">
        <v>88</v>
      </c>
      <c r="C26" s="48" t="s">
        <v>89</v>
      </c>
      <c r="D26" s="45" t="s">
        <v>90</v>
      </c>
      <c r="E26" s="46" t="s">
        <v>438</v>
      </c>
      <c r="F26" s="47"/>
    </row>
    <row r="27" spans="2:6" ht="30" customHeight="1" x14ac:dyDescent="0.3">
      <c r="B27" s="39" t="s">
        <v>91</v>
      </c>
      <c r="C27" s="40" t="s">
        <v>92</v>
      </c>
      <c r="D27" s="41" t="s">
        <v>93</v>
      </c>
      <c r="E27" s="42" t="s">
        <v>438</v>
      </c>
      <c r="F27" s="43"/>
    </row>
    <row r="28" spans="2:6" ht="6" customHeight="1" x14ac:dyDescent="0.3"/>
    <row r="29" spans="2:6" ht="16.5" customHeight="1" x14ac:dyDescent="0.3">
      <c r="B29" s="5" t="s">
        <v>94</v>
      </c>
      <c r="C29" s="5"/>
      <c r="D29" s="5"/>
      <c r="E29" s="5"/>
      <c r="F29" s="5"/>
    </row>
    <row r="30" spans="2:6" ht="30" customHeight="1" x14ac:dyDescent="0.3">
      <c r="B30" s="44" t="s">
        <v>95</v>
      </c>
      <c r="C30" s="40" t="s">
        <v>96</v>
      </c>
      <c r="D30" s="45" t="s">
        <v>97</v>
      </c>
      <c r="E30" s="46" t="s">
        <v>438</v>
      </c>
      <c r="F30" s="47"/>
    </row>
    <row r="31" spans="2:6" ht="30" customHeight="1" x14ac:dyDescent="0.3">
      <c r="B31" s="39" t="s">
        <v>98</v>
      </c>
      <c r="C31" s="40" t="s">
        <v>99</v>
      </c>
      <c r="D31" s="41" t="s">
        <v>100</v>
      </c>
      <c r="E31" s="42" t="s">
        <v>438</v>
      </c>
      <c r="F31" s="43"/>
    </row>
    <row r="32" spans="2:6" ht="30" customHeight="1" x14ac:dyDescent="0.3">
      <c r="B32" s="44" t="s">
        <v>101</v>
      </c>
      <c r="C32" s="48" t="s">
        <v>102</v>
      </c>
      <c r="D32" s="45" t="s">
        <v>103</v>
      </c>
      <c r="E32" s="46" t="s">
        <v>438</v>
      </c>
      <c r="F32" s="47"/>
    </row>
    <row r="33" spans="2:6" ht="30" customHeight="1" x14ac:dyDescent="0.3">
      <c r="B33" s="39" t="s">
        <v>104</v>
      </c>
      <c r="C33" s="48" t="s">
        <v>105</v>
      </c>
      <c r="D33" s="41" t="s">
        <v>106</v>
      </c>
      <c r="E33" s="42" t="s">
        <v>438</v>
      </c>
      <c r="F33" s="43"/>
    </row>
    <row r="34" spans="2:6" ht="30" customHeight="1" x14ac:dyDescent="0.3">
      <c r="B34" s="44" t="s">
        <v>107</v>
      </c>
      <c r="C34" s="49" t="s">
        <v>108</v>
      </c>
      <c r="D34" s="45" t="s">
        <v>109</v>
      </c>
      <c r="E34" s="46" t="s">
        <v>438</v>
      </c>
      <c r="F34" s="47"/>
    </row>
    <row r="35" spans="2:6" ht="30" customHeight="1" x14ac:dyDescent="0.3">
      <c r="B35" s="39" t="s">
        <v>110</v>
      </c>
      <c r="C35" s="48" t="s">
        <v>111</v>
      </c>
      <c r="D35" s="41" t="s">
        <v>112</v>
      </c>
      <c r="E35" s="42" t="s">
        <v>438</v>
      </c>
      <c r="F35" s="43"/>
    </row>
    <row r="36" spans="2:6" ht="6" customHeight="1" x14ac:dyDescent="0.3"/>
    <row r="37" spans="2:6" ht="16.5" customHeight="1" x14ac:dyDescent="0.3">
      <c r="B37" s="5" t="s">
        <v>113</v>
      </c>
      <c r="C37" s="5"/>
      <c r="D37" s="5"/>
      <c r="E37" s="5"/>
      <c r="F37" s="5"/>
    </row>
    <row r="38" spans="2:6" ht="30" customHeight="1" x14ac:dyDescent="0.3">
      <c r="B38" s="44" t="s">
        <v>114</v>
      </c>
      <c r="C38" s="49" t="s">
        <v>115</v>
      </c>
      <c r="D38" s="45" t="s">
        <v>116</v>
      </c>
      <c r="E38" s="46" t="s">
        <v>438</v>
      </c>
      <c r="F38" s="47"/>
    </row>
    <row r="39" spans="2:6" ht="30" customHeight="1" x14ac:dyDescent="0.3">
      <c r="B39" s="39" t="s">
        <v>117</v>
      </c>
      <c r="C39" s="48" t="s">
        <v>118</v>
      </c>
      <c r="D39" s="41" t="s">
        <v>119</v>
      </c>
      <c r="E39" s="42" t="s">
        <v>438</v>
      </c>
      <c r="F39" s="43"/>
    </row>
    <row r="40" spans="2:6" ht="30" customHeight="1" x14ac:dyDescent="0.3">
      <c r="B40" s="44" t="s">
        <v>120</v>
      </c>
      <c r="C40" s="50" t="s">
        <v>121</v>
      </c>
      <c r="D40" s="45" t="s">
        <v>122</v>
      </c>
      <c r="E40" s="46" t="s">
        <v>438</v>
      </c>
      <c r="F40" s="47"/>
    </row>
    <row r="41" spans="2:6" ht="30" customHeight="1" x14ac:dyDescent="0.3">
      <c r="B41" s="39" t="s">
        <v>123</v>
      </c>
      <c r="C41" s="40" t="s">
        <v>124</v>
      </c>
      <c r="D41" s="41" t="s">
        <v>125</v>
      </c>
      <c r="E41" s="42" t="s">
        <v>439</v>
      </c>
      <c r="F41" s="43"/>
    </row>
    <row r="42" spans="2:6" ht="6" customHeight="1" x14ac:dyDescent="0.3">
      <c r="F42" t="s">
        <v>440</v>
      </c>
    </row>
    <row r="44" spans="2:6" x14ac:dyDescent="0.3">
      <c r="B44" s="4" t="s">
        <v>126</v>
      </c>
      <c r="C44" s="4"/>
      <c r="D44" s="51" t="s">
        <v>127</v>
      </c>
      <c r="E44" s="51">
        <f>COUNTIF(E6:E42,"✅ Done")</f>
        <v>26</v>
      </c>
    </row>
  </sheetData>
  <mergeCells count="8">
    <mergeCell ref="B29:F29"/>
    <mergeCell ref="B37:F37"/>
    <mergeCell ref="B44:C44"/>
    <mergeCell ref="B2:F3"/>
    <mergeCell ref="B4:F4"/>
    <mergeCell ref="B6:F6"/>
    <mergeCell ref="B12:F12"/>
    <mergeCell ref="B20:F20"/>
  </mergeCells>
  <dataValidations count="1">
    <dataValidation type="list" allowBlank="1" sqref="E7:E10 E13:E18 E21:E27 E30:E35 E38:E41" xr:uid="{00000000-0002-0000-0100-000000000000}">
      <formula1>"☐ To Do,⚙ In Progress,✅ Done,⏸ Blocked,⏭ 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854F0B"/>
  </sheetPr>
  <dimension ref="B2:F51"/>
  <sheetViews>
    <sheetView showGridLines="0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defaultColWidth="8.6640625" defaultRowHeight="14.4" x14ac:dyDescent="0.3"/>
  <cols>
    <col min="1" max="1" width="3" customWidth="1"/>
    <col min="2" max="2" width="10" customWidth="1"/>
    <col min="3" max="3" width="40" customWidth="1"/>
    <col min="4" max="4" width="58" customWidth="1"/>
    <col min="5" max="5" width="18" customWidth="1"/>
    <col min="6" max="6" width="14" customWidth="1"/>
    <col min="7" max="7" width="3" customWidth="1"/>
  </cols>
  <sheetData>
    <row r="2" spans="2:6" ht="25.5" customHeight="1" x14ac:dyDescent="0.3">
      <c r="B2" s="3" t="s">
        <v>128</v>
      </c>
      <c r="C2" s="3"/>
      <c r="D2" s="3"/>
      <c r="E2" s="3"/>
      <c r="F2" s="3"/>
    </row>
    <row r="3" spans="2:6" ht="7.5" customHeight="1" x14ac:dyDescent="0.3">
      <c r="B3" s="3"/>
      <c r="C3" s="3"/>
      <c r="D3" s="3"/>
      <c r="E3" s="3"/>
      <c r="F3" s="3"/>
    </row>
    <row r="4" spans="2:6" ht="15.75" customHeight="1" x14ac:dyDescent="0.3">
      <c r="B4" s="2" t="s">
        <v>129</v>
      </c>
      <c r="C4" s="2"/>
      <c r="D4" s="2"/>
      <c r="E4" s="2"/>
      <c r="F4" s="2"/>
    </row>
    <row r="5" spans="2:6" ht="19.5" customHeight="1" x14ac:dyDescent="0.3">
      <c r="B5" s="38" t="s">
        <v>34</v>
      </c>
      <c r="C5" s="38" t="s">
        <v>35</v>
      </c>
      <c r="D5" s="38" t="s">
        <v>36</v>
      </c>
      <c r="E5" s="38" t="s">
        <v>37</v>
      </c>
      <c r="F5" s="38" t="s">
        <v>38</v>
      </c>
    </row>
    <row r="6" spans="2:6" ht="16.5" customHeight="1" x14ac:dyDescent="0.3">
      <c r="B6" s="5" t="s">
        <v>130</v>
      </c>
      <c r="C6" s="5"/>
      <c r="D6" s="5"/>
      <c r="E6" s="5"/>
      <c r="F6" s="5"/>
    </row>
    <row r="7" spans="2:6" ht="30" customHeight="1" x14ac:dyDescent="0.3">
      <c r="B7" s="52" t="s">
        <v>131</v>
      </c>
      <c r="C7" s="48" t="s">
        <v>132</v>
      </c>
      <c r="D7" s="41" t="s">
        <v>133</v>
      </c>
      <c r="E7" s="42" t="s">
        <v>43</v>
      </c>
      <c r="F7" s="43"/>
    </row>
    <row r="8" spans="2:6" ht="30" customHeight="1" x14ac:dyDescent="0.3">
      <c r="B8" s="53" t="s">
        <v>134</v>
      </c>
      <c r="C8" s="48" t="s">
        <v>135</v>
      </c>
      <c r="D8" s="54" t="s">
        <v>136</v>
      </c>
      <c r="E8" s="55" t="s">
        <v>43</v>
      </c>
      <c r="F8" s="56"/>
    </row>
    <row r="9" spans="2:6" ht="6" customHeight="1" x14ac:dyDescent="0.3"/>
    <row r="10" spans="2:6" ht="16.5" customHeight="1" x14ac:dyDescent="0.3">
      <c r="B10" s="5" t="s">
        <v>137</v>
      </c>
      <c r="C10" s="5"/>
      <c r="D10" s="5"/>
      <c r="E10" s="5"/>
      <c r="F10" s="5"/>
    </row>
    <row r="11" spans="2:6" ht="30" customHeight="1" x14ac:dyDescent="0.3">
      <c r="B11" s="52" t="s">
        <v>138</v>
      </c>
      <c r="C11" s="48" t="s">
        <v>139</v>
      </c>
      <c r="D11" s="41" t="s">
        <v>140</v>
      </c>
      <c r="E11" s="42" t="s">
        <v>43</v>
      </c>
      <c r="F11" s="43"/>
    </row>
    <row r="12" spans="2:6" ht="30" customHeight="1" x14ac:dyDescent="0.3">
      <c r="B12" s="53" t="s">
        <v>141</v>
      </c>
      <c r="C12" s="48" t="s">
        <v>142</v>
      </c>
      <c r="D12" s="54" t="s">
        <v>143</v>
      </c>
      <c r="E12" s="55" t="s">
        <v>43</v>
      </c>
      <c r="F12" s="56"/>
    </row>
    <row r="13" spans="2:6" ht="30" customHeight="1" x14ac:dyDescent="0.3">
      <c r="B13" s="52" t="s">
        <v>144</v>
      </c>
      <c r="C13" s="49" t="s">
        <v>145</v>
      </c>
      <c r="D13" s="41" t="s">
        <v>146</v>
      </c>
      <c r="E13" s="42" t="s">
        <v>43</v>
      </c>
      <c r="F13" s="43"/>
    </row>
    <row r="14" spans="2:6" ht="30" customHeight="1" x14ac:dyDescent="0.3">
      <c r="B14" s="53" t="s">
        <v>147</v>
      </c>
      <c r="C14" s="49" t="s">
        <v>148</v>
      </c>
      <c r="D14" s="54" t="s">
        <v>149</v>
      </c>
      <c r="E14" s="55" t="s">
        <v>43</v>
      </c>
      <c r="F14" s="56"/>
    </row>
    <row r="15" spans="2:6" ht="6" customHeight="1" x14ac:dyDescent="0.3"/>
    <row r="16" spans="2:6" ht="16.5" customHeight="1" x14ac:dyDescent="0.3">
      <c r="B16" s="5" t="s">
        <v>150</v>
      </c>
      <c r="C16" s="5"/>
      <c r="D16" s="5"/>
      <c r="E16" s="5"/>
      <c r="F16" s="5"/>
    </row>
    <row r="17" spans="2:6" ht="30" customHeight="1" x14ac:dyDescent="0.3">
      <c r="B17" s="52" t="s">
        <v>151</v>
      </c>
      <c r="C17" s="48" t="s">
        <v>152</v>
      </c>
      <c r="D17" s="41" t="s">
        <v>153</v>
      </c>
      <c r="E17" s="42" t="s">
        <v>43</v>
      </c>
      <c r="F17" s="43"/>
    </row>
    <row r="18" spans="2:6" ht="30" customHeight="1" x14ac:dyDescent="0.3">
      <c r="B18" s="53" t="s">
        <v>154</v>
      </c>
      <c r="C18" s="48" t="s">
        <v>155</v>
      </c>
      <c r="D18" s="54" t="s">
        <v>156</v>
      </c>
      <c r="E18" s="55" t="s">
        <v>43</v>
      </c>
      <c r="F18" s="56"/>
    </row>
    <row r="19" spans="2:6" ht="30" customHeight="1" x14ac:dyDescent="0.3">
      <c r="B19" s="52" t="s">
        <v>157</v>
      </c>
      <c r="C19" s="49" t="s">
        <v>158</v>
      </c>
      <c r="D19" s="41" t="s">
        <v>159</v>
      </c>
      <c r="E19" s="42" t="s">
        <v>43</v>
      </c>
      <c r="F19" s="43"/>
    </row>
    <row r="20" spans="2:6" ht="6" customHeight="1" x14ac:dyDescent="0.3"/>
    <row r="21" spans="2:6" ht="16.5" customHeight="1" x14ac:dyDescent="0.3">
      <c r="B21" s="5" t="s">
        <v>160</v>
      </c>
      <c r="C21" s="5"/>
      <c r="D21" s="5"/>
      <c r="E21" s="5"/>
      <c r="F21" s="5"/>
    </row>
    <row r="22" spans="2:6" ht="30" customHeight="1" x14ac:dyDescent="0.3">
      <c r="B22" s="53" t="s">
        <v>161</v>
      </c>
      <c r="C22" s="40" t="s">
        <v>162</v>
      </c>
      <c r="D22" s="54" t="s">
        <v>163</v>
      </c>
      <c r="E22" s="55" t="s">
        <v>43</v>
      </c>
      <c r="F22" s="56"/>
    </row>
    <row r="23" spans="2:6" ht="30" customHeight="1" x14ac:dyDescent="0.3">
      <c r="B23" s="52" t="s">
        <v>164</v>
      </c>
      <c r="C23" s="40" t="s">
        <v>165</v>
      </c>
      <c r="D23" s="41" t="s">
        <v>166</v>
      </c>
      <c r="E23" s="42" t="s">
        <v>43</v>
      </c>
      <c r="F23" s="43"/>
    </row>
    <row r="24" spans="2:6" ht="30" customHeight="1" x14ac:dyDescent="0.3">
      <c r="B24" s="53" t="s">
        <v>167</v>
      </c>
      <c r="C24" s="40" t="s">
        <v>168</v>
      </c>
      <c r="D24" s="54" t="s">
        <v>169</v>
      </c>
      <c r="E24" s="55" t="s">
        <v>43</v>
      </c>
      <c r="F24" s="56"/>
    </row>
    <row r="25" spans="2:6" ht="30" customHeight="1" x14ac:dyDescent="0.3">
      <c r="B25" s="52" t="s">
        <v>170</v>
      </c>
      <c r="C25" s="40" t="s">
        <v>171</v>
      </c>
      <c r="D25" s="41" t="s">
        <v>172</v>
      </c>
      <c r="E25" s="42" t="s">
        <v>43</v>
      </c>
      <c r="F25" s="43"/>
    </row>
    <row r="26" spans="2:6" ht="30" customHeight="1" x14ac:dyDescent="0.3">
      <c r="B26" s="53" t="s">
        <v>173</v>
      </c>
      <c r="C26" s="48" t="s">
        <v>174</v>
      </c>
      <c r="D26" s="54" t="s">
        <v>175</v>
      </c>
      <c r="E26" s="55" t="s">
        <v>43</v>
      </c>
      <c r="F26" s="56"/>
    </row>
    <row r="27" spans="2:6" ht="6" customHeight="1" x14ac:dyDescent="0.3"/>
    <row r="28" spans="2:6" ht="16.5" customHeight="1" x14ac:dyDescent="0.3">
      <c r="B28" s="5" t="s">
        <v>176</v>
      </c>
      <c r="C28" s="5"/>
      <c r="D28" s="5"/>
      <c r="E28" s="5"/>
      <c r="F28" s="5"/>
    </row>
    <row r="29" spans="2:6" ht="30" customHeight="1" x14ac:dyDescent="0.3">
      <c r="B29" s="52" t="s">
        <v>177</v>
      </c>
      <c r="C29" s="48" t="s">
        <v>178</v>
      </c>
      <c r="D29" s="41" t="s">
        <v>179</v>
      </c>
      <c r="E29" s="42" t="s">
        <v>43</v>
      </c>
      <c r="F29" s="43"/>
    </row>
    <row r="30" spans="2:6" ht="30" customHeight="1" x14ac:dyDescent="0.3">
      <c r="B30" s="53" t="s">
        <v>180</v>
      </c>
      <c r="C30" s="49" t="s">
        <v>181</v>
      </c>
      <c r="D30" s="54" t="s">
        <v>182</v>
      </c>
      <c r="E30" s="55" t="s">
        <v>43</v>
      </c>
      <c r="F30" s="56"/>
    </row>
    <row r="31" spans="2:6" ht="30" customHeight="1" x14ac:dyDescent="0.3">
      <c r="B31" s="52" t="s">
        <v>183</v>
      </c>
      <c r="C31" s="48" t="s">
        <v>184</v>
      </c>
      <c r="D31" s="41" t="s">
        <v>185</v>
      </c>
      <c r="E31" s="42" t="s">
        <v>43</v>
      </c>
      <c r="F31" s="43"/>
    </row>
    <row r="32" spans="2:6" ht="6" customHeight="1" x14ac:dyDescent="0.3"/>
    <row r="33" spans="2:6" ht="16.5" customHeight="1" x14ac:dyDescent="0.3">
      <c r="B33" s="5" t="s">
        <v>186</v>
      </c>
      <c r="C33" s="5"/>
      <c r="D33" s="5"/>
      <c r="E33" s="5"/>
      <c r="F33" s="5"/>
    </row>
    <row r="34" spans="2:6" ht="30" customHeight="1" x14ac:dyDescent="0.3">
      <c r="B34" s="53" t="s">
        <v>187</v>
      </c>
      <c r="C34" s="49" t="s">
        <v>188</v>
      </c>
      <c r="D34" s="54" t="s">
        <v>189</v>
      </c>
      <c r="E34" s="55" t="s">
        <v>43</v>
      </c>
      <c r="F34" s="56"/>
    </row>
    <row r="35" spans="2:6" ht="30" customHeight="1" x14ac:dyDescent="0.3">
      <c r="B35" s="52" t="s">
        <v>190</v>
      </c>
      <c r="C35" s="49" t="s">
        <v>191</v>
      </c>
      <c r="D35" s="41" t="s">
        <v>192</v>
      </c>
      <c r="E35" s="42" t="s">
        <v>43</v>
      </c>
      <c r="F35" s="43"/>
    </row>
    <row r="36" spans="2:6" ht="30" customHeight="1" x14ac:dyDescent="0.3">
      <c r="B36" s="53" t="s">
        <v>193</v>
      </c>
      <c r="C36" s="49" t="s">
        <v>194</v>
      </c>
      <c r="D36" s="54" t="s">
        <v>195</v>
      </c>
      <c r="E36" s="55" t="s">
        <v>43</v>
      </c>
      <c r="F36" s="56"/>
    </row>
    <row r="37" spans="2:6" ht="30" customHeight="1" x14ac:dyDescent="0.3">
      <c r="B37" s="52" t="s">
        <v>196</v>
      </c>
      <c r="C37" s="49" t="s">
        <v>197</v>
      </c>
      <c r="D37" s="41" t="s">
        <v>198</v>
      </c>
      <c r="E37" s="42" t="s">
        <v>43</v>
      </c>
      <c r="F37" s="43"/>
    </row>
    <row r="38" spans="2:6" ht="6" customHeight="1" x14ac:dyDescent="0.3"/>
    <row r="39" spans="2:6" ht="16.5" customHeight="1" x14ac:dyDescent="0.3">
      <c r="B39" s="5" t="s">
        <v>199</v>
      </c>
      <c r="C39" s="5"/>
      <c r="D39" s="5"/>
      <c r="E39" s="5"/>
      <c r="F39" s="5"/>
    </row>
    <row r="40" spans="2:6" ht="30" customHeight="1" x14ac:dyDescent="0.3">
      <c r="B40" s="53" t="s">
        <v>200</v>
      </c>
      <c r="C40" s="48" t="s">
        <v>201</v>
      </c>
      <c r="D40" s="54" t="s">
        <v>202</v>
      </c>
      <c r="E40" s="55" t="s">
        <v>43</v>
      </c>
      <c r="F40" s="56"/>
    </row>
    <row r="41" spans="2:6" ht="30" customHeight="1" x14ac:dyDescent="0.3">
      <c r="B41" s="52" t="s">
        <v>203</v>
      </c>
      <c r="C41" s="48" t="s">
        <v>204</v>
      </c>
      <c r="D41" s="41" t="s">
        <v>205</v>
      </c>
      <c r="E41" s="42" t="s">
        <v>43</v>
      </c>
      <c r="F41" s="43"/>
    </row>
    <row r="42" spans="2:6" ht="30" customHeight="1" x14ac:dyDescent="0.3">
      <c r="B42" s="53" t="s">
        <v>206</v>
      </c>
      <c r="C42" s="48" t="s">
        <v>207</v>
      </c>
      <c r="D42" s="54" t="s">
        <v>208</v>
      </c>
      <c r="E42" s="55" t="s">
        <v>43</v>
      </c>
      <c r="F42" s="56"/>
    </row>
    <row r="43" spans="2:6" ht="30" customHeight="1" x14ac:dyDescent="0.3">
      <c r="B43" s="52" t="s">
        <v>209</v>
      </c>
      <c r="C43" s="48" t="s">
        <v>210</v>
      </c>
      <c r="D43" s="41" t="s">
        <v>211</v>
      </c>
      <c r="E43" s="42" t="s">
        <v>43</v>
      </c>
      <c r="F43" s="43"/>
    </row>
    <row r="44" spans="2:6" ht="30" customHeight="1" x14ac:dyDescent="0.3">
      <c r="B44" s="53" t="s">
        <v>212</v>
      </c>
      <c r="C44" s="48" t="s">
        <v>213</v>
      </c>
      <c r="D44" s="54" t="s">
        <v>214</v>
      </c>
      <c r="E44" s="55" t="s">
        <v>43</v>
      </c>
      <c r="F44" s="56"/>
    </row>
    <row r="45" spans="2:6" ht="30" customHeight="1" x14ac:dyDescent="0.3">
      <c r="B45" s="52" t="s">
        <v>215</v>
      </c>
      <c r="C45" s="48" t="s">
        <v>216</v>
      </c>
      <c r="D45" s="41" t="s">
        <v>217</v>
      </c>
      <c r="E45" s="42" t="s">
        <v>43</v>
      </c>
      <c r="F45" s="43"/>
    </row>
    <row r="46" spans="2:6" ht="30" customHeight="1" x14ac:dyDescent="0.3">
      <c r="B46" s="53" t="s">
        <v>218</v>
      </c>
      <c r="C46" s="49" t="s">
        <v>219</v>
      </c>
      <c r="D46" s="54" t="s">
        <v>220</v>
      </c>
      <c r="E46" s="55" t="s">
        <v>43</v>
      </c>
      <c r="F46" s="56"/>
    </row>
    <row r="47" spans="2:6" ht="30" customHeight="1" x14ac:dyDescent="0.3">
      <c r="B47" s="52" t="s">
        <v>221</v>
      </c>
      <c r="C47" s="48" t="s">
        <v>222</v>
      </c>
      <c r="D47" s="41" t="s">
        <v>223</v>
      </c>
      <c r="E47" s="42" t="s">
        <v>43</v>
      </c>
      <c r="F47" s="43"/>
    </row>
    <row r="48" spans="2:6" ht="30" customHeight="1" x14ac:dyDescent="0.3">
      <c r="B48" s="53" t="s">
        <v>224</v>
      </c>
      <c r="C48" s="40" t="s">
        <v>225</v>
      </c>
      <c r="D48" s="54" t="s">
        <v>226</v>
      </c>
      <c r="E48" s="55" t="s">
        <v>43</v>
      </c>
      <c r="F48" s="56"/>
    </row>
    <row r="49" spans="2:5" ht="6" customHeight="1" x14ac:dyDescent="0.3"/>
    <row r="51" spans="2:5" x14ac:dyDescent="0.3">
      <c r="B51" s="1" t="s">
        <v>227</v>
      </c>
      <c r="C51" s="1"/>
      <c r="D51" s="57" t="s">
        <v>228</v>
      </c>
      <c r="E51" s="57">
        <f>COUNTIF(E6:E49,"✅ Done")</f>
        <v>0</v>
      </c>
    </row>
  </sheetData>
  <mergeCells count="10">
    <mergeCell ref="B21:F21"/>
    <mergeCell ref="B28:F28"/>
    <mergeCell ref="B33:F33"/>
    <mergeCell ref="B39:F39"/>
    <mergeCell ref="B51:C51"/>
    <mergeCell ref="B2:F3"/>
    <mergeCell ref="B4:F4"/>
    <mergeCell ref="B6:F6"/>
    <mergeCell ref="B10:F10"/>
    <mergeCell ref="B16:F16"/>
  </mergeCells>
  <dataValidations count="1">
    <dataValidation type="list" allowBlank="1" sqref="E7:E8 E11:E14 E17:E19 E22:E26 E29:E31 E34:E37 E40:E48" xr:uid="{00000000-0002-0000-0200-000000000000}">
      <formula1>"☐ To Do,⚙ In Progress,✅ Done,⏸ Blocked,⏭ 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E75B6"/>
  </sheetPr>
  <dimension ref="B2:F56"/>
  <sheetViews>
    <sheetView showGridLines="0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defaultColWidth="8.6640625" defaultRowHeight="14.4" x14ac:dyDescent="0.3"/>
  <cols>
    <col min="1" max="1" width="3" customWidth="1"/>
    <col min="2" max="2" width="10" customWidth="1"/>
    <col min="3" max="3" width="40" customWidth="1"/>
    <col min="4" max="4" width="58" customWidth="1"/>
    <col min="5" max="5" width="18" customWidth="1"/>
    <col min="6" max="6" width="14" customWidth="1"/>
    <col min="7" max="7" width="3" customWidth="1"/>
  </cols>
  <sheetData>
    <row r="2" spans="2:6" ht="25.5" customHeight="1" x14ac:dyDescent="0.3">
      <c r="B2" s="76" t="s">
        <v>229</v>
      </c>
      <c r="C2" s="76"/>
      <c r="D2" s="76"/>
      <c r="E2" s="76"/>
      <c r="F2" s="76"/>
    </row>
    <row r="3" spans="2:6" ht="7.5" customHeight="1" x14ac:dyDescent="0.3">
      <c r="B3" s="76"/>
      <c r="C3" s="76"/>
      <c r="D3" s="76"/>
      <c r="E3" s="76"/>
      <c r="F3" s="76"/>
    </row>
    <row r="4" spans="2:6" ht="15.75" customHeight="1" x14ac:dyDescent="0.3">
      <c r="B4" s="77" t="s">
        <v>230</v>
      </c>
      <c r="C4" s="77"/>
      <c r="D4" s="77"/>
      <c r="E4" s="77"/>
      <c r="F4" s="77"/>
    </row>
    <row r="5" spans="2:6" ht="19.5" customHeight="1" x14ac:dyDescent="0.3">
      <c r="B5" s="38" t="s">
        <v>34</v>
      </c>
      <c r="C5" s="38" t="s">
        <v>35</v>
      </c>
      <c r="D5" s="38" t="s">
        <v>36</v>
      </c>
      <c r="E5" s="38" t="s">
        <v>37</v>
      </c>
      <c r="F5" s="38" t="s">
        <v>38</v>
      </c>
    </row>
    <row r="6" spans="2:6" ht="16.5" customHeight="1" x14ac:dyDescent="0.3">
      <c r="B6" s="5" t="s">
        <v>231</v>
      </c>
      <c r="C6" s="5"/>
      <c r="D6" s="5"/>
      <c r="E6" s="5"/>
      <c r="F6" s="5"/>
    </row>
    <row r="7" spans="2:6" ht="30" customHeight="1" x14ac:dyDescent="0.3">
      <c r="B7" s="58" t="s">
        <v>232</v>
      </c>
      <c r="C7" s="48" t="s">
        <v>233</v>
      </c>
      <c r="D7" s="41" t="s">
        <v>234</v>
      </c>
      <c r="E7" s="42" t="s">
        <v>43</v>
      </c>
      <c r="F7" s="43"/>
    </row>
    <row r="8" spans="2:6" ht="30" customHeight="1" x14ac:dyDescent="0.3">
      <c r="B8" s="59" t="s">
        <v>235</v>
      </c>
      <c r="C8" s="48" t="s">
        <v>236</v>
      </c>
      <c r="D8" s="60" t="s">
        <v>237</v>
      </c>
      <c r="E8" s="61" t="s">
        <v>43</v>
      </c>
      <c r="F8" s="62"/>
    </row>
    <row r="9" spans="2:6" ht="30" customHeight="1" x14ac:dyDescent="0.3">
      <c r="B9" s="58" t="s">
        <v>238</v>
      </c>
      <c r="C9" s="48" t="s">
        <v>239</v>
      </c>
      <c r="D9" s="41" t="s">
        <v>240</v>
      </c>
      <c r="E9" s="42" t="s">
        <v>43</v>
      </c>
      <c r="F9" s="43"/>
    </row>
    <row r="10" spans="2:6" ht="30" customHeight="1" x14ac:dyDescent="0.3">
      <c r="B10" s="59" t="s">
        <v>241</v>
      </c>
      <c r="C10" s="49" t="s">
        <v>242</v>
      </c>
      <c r="D10" s="60" t="s">
        <v>243</v>
      </c>
      <c r="E10" s="61" t="s">
        <v>43</v>
      </c>
      <c r="F10" s="62"/>
    </row>
    <row r="11" spans="2:6" ht="6" customHeight="1" x14ac:dyDescent="0.3"/>
    <row r="12" spans="2:6" ht="16.5" customHeight="1" x14ac:dyDescent="0.3">
      <c r="B12" s="5" t="s">
        <v>244</v>
      </c>
      <c r="C12" s="5"/>
      <c r="D12" s="5"/>
      <c r="E12" s="5"/>
      <c r="F12" s="5"/>
    </row>
    <row r="13" spans="2:6" ht="30" customHeight="1" x14ac:dyDescent="0.3">
      <c r="B13" s="58" t="s">
        <v>245</v>
      </c>
      <c r="C13" s="48" t="s">
        <v>246</v>
      </c>
      <c r="D13" s="41" t="s">
        <v>247</v>
      </c>
      <c r="E13" s="42" t="s">
        <v>43</v>
      </c>
      <c r="F13" s="43"/>
    </row>
    <row r="14" spans="2:6" ht="30" customHeight="1" x14ac:dyDescent="0.3">
      <c r="B14" s="59" t="s">
        <v>248</v>
      </c>
      <c r="C14" s="48" t="s">
        <v>249</v>
      </c>
      <c r="D14" s="60" t="s">
        <v>250</v>
      </c>
      <c r="E14" s="61" t="s">
        <v>43</v>
      </c>
      <c r="F14" s="62"/>
    </row>
    <row r="15" spans="2:6" ht="30" customHeight="1" x14ac:dyDescent="0.3">
      <c r="B15" s="58" t="s">
        <v>251</v>
      </c>
      <c r="C15" s="48" t="s">
        <v>252</v>
      </c>
      <c r="D15" s="41" t="s">
        <v>253</v>
      </c>
      <c r="E15" s="42" t="s">
        <v>43</v>
      </c>
      <c r="F15" s="43"/>
    </row>
    <row r="16" spans="2:6" ht="6" customHeight="1" x14ac:dyDescent="0.3"/>
    <row r="17" spans="2:6" ht="16.5" customHeight="1" x14ac:dyDescent="0.3">
      <c r="B17" s="5" t="s">
        <v>254</v>
      </c>
      <c r="C17" s="5"/>
      <c r="D17" s="5"/>
      <c r="E17" s="5"/>
      <c r="F17" s="5"/>
    </row>
    <row r="18" spans="2:6" ht="30" customHeight="1" x14ac:dyDescent="0.3">
      <c r="B18" s="59" t="s">
        <v>255</v>
      </c>
      <c r="C18" s="48" t="s">
        <v>256</v>
      </c>
      <c r="D18" s="60" t="s">
        <v>257</v>
      </c>
      <c r="E18" s="61" t="s">
        <v>43</v>
      </c>
      <c r="F18" s="62"/>
    </row>
    <row r="19" spans="2:6" ht="30" customHeight="1" x14ac:dyDescent="0.3">
      <c r="B19" s="58" t="s">
        <v>258</v>
      </c>
      <c r="C19" s="48" t="s">
        <v>259</v>
      </c>
      <c r="D19" s="41" t="s">
        <v>260</v>
      </c>
      <c r="E19" s="42" t="s">
        <v>43</v>
      </c>
      <c r="F19" s="43"/>
    </row>
    <row r="20" spans="2:6" ht="30" customHeight="1" x14ac:dyDescent="0.3">
      <c r="B20" s="59" t="s">
        <v>261</v>
      </c>
      <c r="C20" s="48" t="s">
        <v>262</v>
      </c>
      <c r="D20" s="60" t="s">
        <v>263</v>
      </c>
      <c r="E20" s="61" t="s">
        <v>43</v>
      </c>
      <c r="F20" s="62"/>
    </row>
    <row r="21" spans="2:6" ht="6" customHeight="1" x14ac:dyDescent="0.3"/>
    <row r="22" spans="2:6" ht="16.5" customHeight="1" x14ac:dyDescent="0.3">
      <c r="B22" s="5" t="s">
        <v>264</v>
      </c>
      <c r="C22" s="5"/>
      <c r="D22" s="5"/>
      <c r="E22" s="5"/>
      <c r="F22" s="5"/>
    </row>
    <row r="23" spans="2:6" ht="30" customHeight="1" x14ac:dyDescent="0.3">
      <c r="B23" s="58" t="s">
        <v>265</v>
      </c>
      <c r="C23" s="48" t="s">
        <v>266</v>
      </c>
      <c r="D23" s="41" t="s">
        <v>267</v>
      </c>
      <c r="E23" s="42" t="s">
        <v>43</v>
      </c>
      <c r="F23" s="43"/>
    </row>
    <row r="24" spans="2:6" ht="30" customHeight="1" x14ac:dyDescent="0.3">
      <c r="B24" s="59" t="s">
        <v>268</v>
      </c>
      <c r="C24" s="48" t="s">
        <v>269</v>
      </c>
      <c r="D24" s="60" t="s">
        <v>270</v>
      </c>
      <c r="E24" s="61" t="s">
        <v>43</v>
      </c>
      <c r="F24" s="62"/>
    </row>
    <row r="25" spans="2:6" ht="30" customHeight="1" x14ac:dyDescent="0.3">
      <c r="B25" s="58" t="s">
        <v>271</v>
      </c>
      <c r="C25" s="48" t="s">
        <v>272</v>
      </c>
      <c r="D25" s="41" t="s">
        <v>273</v>
      </c>
      <c r="E25" s="42" t="s">
        <v>43</v>
      </c>
      <c r="F25" s="43"/>
    </row>
    <row r="26" spans="2:6" ht="30" customHeight="1" x14ac:dyDescent="0.3">
      <c r="B26" s="59" t="s">
        <v>274</v>
      </c>
      <c r="C26" s="48" t="s">
        <v>275</v>
      </c>
      <c r="D26" s="60" t="s">
        <v>276</v>
      </c>
      <c r="E26" s="61" t="s">
        <v>43</v>
      </c>
      <c r="F26" s="62"/>
    </row>
    <row r="27" spans="2:6" ht="6" customHeight="1" x14ac:dyDescent="0.3"/>
    <row r="28" spans="2:6" ht="16.5" customHeight="1" x14ac:dyDescent="0.3">
      <c r="B28" s="5" t="s">
        <v>277</v>
      </c>
      <c r="C28" s="5"/>
      <c r="D28" s="5"/>
      <c r="E28" s="5"/>
      <c r="F28" s="5"/>
    </row>
    <row r="29" spans="2:6" ht="30" customHeight="1" x14ac:dyDescent="0.3">
      <c r="B29" s="58" t="s">
        <v>278</v>
      </c>
      <c r="C29" s="48" t="s">
        <v>279</v>
      </c>
      <c r="D29" s="41" t="s">
        <v>280</v>
      </c>
      <c r="E29" s="42" t="s">
        <v>43</v>
      </c>
      <c r="F29" s="43"/>
    </row>
    <row r="30" spans="2:6" ht="30" customHeight="1" x14ac:dyDescent="0.3">
      <c r="B30" s="59" t="s">
        <v>281</v>
      </c>
      <c r="C30" s="48" t="s">
        <v>282</v>
      </c>
      <c r="D30" s="60" t="s">
        <v>283</v>
      </c>
      <c r="E30" s="61" t="s">
        <v>43</v>
      </c>
      <c r="F30" s="62"/>
    </row>
    <row r="31" spans="2:6" ht="30" customHeight="1" x14ac:dyDescent="0.3">
      <c r="B31" s="58" t="s">
        <v>284</v>
      </c>
      <c r="C31" s="48" t="s">
        <v>285</v>
      </c>
      <c r="D31" s="41" t="s">
        <v>286</v>
      </c>
      <c r="E31" s="42" t="s">
        <v>43</v>
      </c>
      <c r="F31" s="43"/>
    </row>
    <row r="32" spans="2:6" ht="30" customHeight="1" x14ac:dyDescent="0.3">
      <c r="B32" s="59" t="s">
        <v>287</v>
      </c>
      <c r="C32" s="48" t="s">
        <v>288</v>
      </c>
      <c r="D32" s="60" t="s">
        <v>289</v>
      </c>
      <c r="E32" s="61" t="s">
        <v>43</v>
      </c>
      <c r="F32" s="62"/>
    </row>
    <row r="33" spans="2:6" ht="6" customHeight="1" x14ac:dyDescent="0.3"/>
    <row r="34" spans="2:6" ht="16.5" customHeight="1" x14ac:dyDescent="0.3">
      <c r="B34" s="5" t="s">
        <v>290</v>
      </c>
      <c r="C34" s="5"/>
      <c r="D34" s="5"/>
      <c r="E34" s="5"/>
      <c r="F34" s="5"/>
    </row>
    <row r="35" spans="2:6" ht="30" customHeight="1" x14ac:dyDescent="0.3">
      <c r="B35" s="58" t="s">
        <v>291</v>
      </c>
      <c r="C35" s="48" t="s">
        <v>292</v>
      </c>
      <c r="D35" s="41" t="s">
        <v>293</v>
      </c>
      <c r="E35" s="42" t="s">
        <v>43</v>
      </c>
      <c r="F35" s="43"/>
    </row>
    <row r="36" spans="2:6" ht="30" customHeight="1" x14ac:dyDescent="0.3">
      <c r="B36" s="59" t="s">
        <v>294</v>
      </c>
      <c r="C36" s="48" t="s">
        <v>295</v>
      </c>
      <c r="D36" s="60" t="s">
        <v>296</v>
      </c>
      <c r="E36" s="61" t="s">
        <v>43</v>
      </c>
      <c r="F36" s="62"/>
    </row>
    <row r="37" spans="2:6" ht="30" customHeight="1" x14ac:dyDescent="0.3">
      <c r="B37" s="58" t="s">
        <v>297</v>
      </c>
      <c r="C37" s="49" t="s">
        <v>298</v>
      </c>
      <c r="D37" s="41" t="s">
        <v>299</v>
      </c>
      <c r="E37" s="42" t="s">
        <v>43</v>
      </c>
      <c r="F37" s="43"/>
    </row>
    <row r="38" spans="2:6" ht="6" customHeight="1" x14ac:dyDescent="0.3"/>
    <row r="39" spans="2:6" ht="16.5" customHeight="1" x14ac:dyDescent="0.3">
      <c r="B39" s="5" t="s">
        <v>300</v>
      </c>
      <c r="C39" s="5"/>
      <c r="D39" s="5"/>
      <c r="E39" s="5"/>
      <c r="F39" s="5"/>
    </row>
    <row r="40" spans="2:6" ht="30" customHeight="1" x14ac:dyDescent="0.3">
      <c r="B40" s="59" t="s">
        <v>301</v>
      </c>
      <c r="C40" s="48" t="s">
        <v>302</v>
      </c>
      <c r="D40" s="60" t="s">
        <v>303</v>
      </c>
      <c r="E40" s="61" t="s">
        <v>43</v>
      </c>
      <c r="F40" s="62"/>
    </row>
    <row r="41" spans="2:6" ht="30" customHeight="1" x14ac:dyDescent="0.3">
      <c r="B41" s="58" t="s">
        <v>304</v>
      </c>
      <c r="C41" s="49" t="s">
        <v>305</v>
      </c>
      <c r="D41" s="41" t="s">
        <v>306</v>
      </c>
      <c r="E41" s="42" t="s">
        <v>43</v>
      </c>
      <c r="F41" s="43"/>
    </row>
    <row r="42" spans="2:6" ht="30" customHeight="1" x14ac:dyDescent="0.3">
      <c r="B42" s="59" t="s">
        <v>307</v>
      </c>
      <c r="C42" s="48" t="s">
        <v>308</v>
      </c>
      <c r="D42" s="60" t="s">
        <v>309</v>
      </c>
      <c r="E42" s="61" t="s">
        <v>43</v>
      </c>
      <c r="F42" s="62"/>
    </row>
    <row r="43" spans="2:6" ht="6" customHeight="1" x14ac:dyDescent="0.3"/>
    <row r="44" spans="2:6" ht="16.5" customHeight="1" x14ac:dyDescent="0.3">
      <c r="B44" s="5" t="s">
        <v>310</v>
      </c>
      <c r="C44" s="5"/>
      <c r="D44" s="5"/>
      <c r="E44" s="5"/>
      <c r="F44" s="5"/>
    </row>
    <row r="45" spans="2:6" ht="30" customHeight="1" x14ac:dyDescent="0.3">
      <c r="B45" s="58" t="s">
        <v>311</v>
      </c>
      <c r="C45" s="48" t="s">
        <v>312</v>
      </c>
      <c r="D45" s="41" t="s">
        <v>313</v>
      </c>
      <c r="E45" s="42" t="s">
        <v>43</v>
      </c>
      <c r="F45" s="43"/>
    </row>
    <row r="46" spans="2:6" ht="30" customHeight="1" x14ac:dyDescent="0.3">
      <c r="B46" s="59" t="s">
        <v>314</v>
      </c>
      <c r="C46" s="48" t="s">
        <v>315</v>
      </c>
      <c r="D46" s="60" t="s">
        <v>316</v>
      </c>
      <c r="E46" s="61" t="s">
        <v>43</v>
      </c>
      <c r="F46" s="62"/>
    </row>
    <row r="47" spans="2:6" ht="30" customHeight="1" x14ac:dyDescent="0.3">
      <c r="B47" s="58" t="s">
        <v>317</v>
      </c>
      <c r="C47" s="48" t="s">
        <v>262</v>
      </c>
      <c r="D47" s="41" t="s">
        <v>318</v>
      </c>
      <c r="E47" s="42" t="s">
        <v>43</v>
      </c>
      <c r="F47" s="43"/>
    </row>
    <row r="48" spans="2:6" ht="6" customHeight="1" x14ac:dyDescent="0.3"/>
    <row r="49" spans="2:6" ht="16.5" customHeight="1" x14ac:dyDescent="0.3">
      <c r="B49" s="5" t="s">
        <v>319</v>
      </c>
      <c r="C49" s="5"/>
      <c r="D49" s="5"/>
      <c r="E49" s="5"/>
      <c r="F49" s="5"/>
    </row>
    <row r="50" spans="2:6" ht="30" customHeight="1" x14ac:dyDescent="0.3">
      <c r="B50" s="59" t="s">
        <v>320</v>
      </c>
      <c r="C50" s="48" t="s">
        <v>321</v>
      </c>
      <c r="D50" s="60" t="s">
        <v>322</v>
      </c>
      <c r="E50" s="61" t="s">
        <v>43</v>
      </c>
      <c r="F50" s="62"/>
    </row>
    <row r="51" spans="2:6" ht="30" customHeight="1" x14ac:dyDescent="0.3">
      <c r="B51" s="58" t="s">
        <v>323</v>
      </c>
      <c r="C51" s="48" t="s">
        <v>324</v>
      </c>
      <c r="D51" s="41" t="s">
        <v>325</v>
      </c>
      <c r="E51" s="42" t="s">
        <v>43</v>
      </c>
      <c r="F51" s="43"/>
    </row>
    <row r="52" spans="2:6" ht="30" customHeight="1" x14ac:dyDescent="0.3">
      <c r="B52" s="59" t="s">
        <v>326</v>
      </c>
      <c r="C52" s="48" t="s">
        <v>327</v>
      </c>
      <c r="D52" s="60" t="s">
        <v>328</v>
      </c>
      <c r="E52" s="61" t="s">
        <v>43</v>
      </c>
      <c r="F52" s="62"/>
    </row>
    <row r="53" spans="2:6" ht="30" customHeight="1" x14ac:dyDescent="0.3">
      <c r="B53" s="58" t="s">
        <v>329</v>
      </c>
      <c r="C53" s="40" t="s">
        <v>330</v>
      </c>
      <c r="D53" s="41" t="s">
        <v>331</v>
      </c>
      <c r="E53" s="42" t="s">
        <v>43</v>
      </c>
      <c r="F53" s="43"/>
    </row>
    <row r="54" spans="2:6" ht="6" customHeight="1" x14ac:dyDescent="0.3"/>
    <row r="56" spans="2:6" x14ac:dyDescent="0.3">
      <c r="B56" s="78" t="s">
        <v>332</v>
      </c>
      <c r="C56" s="78"/>
      <c r="D56" s="63" t="s">
        <v>333</v>
      </c>
      <c r="E56" s="63">
        <f>COUNTIF(E6:E54,"✅ Done")</f>
        <v>0</v>
      </c>
    </row>
  </sheetData>
  <mergeCells count="12">
    <mergeCell ref="B49:F49"/>
    <mergeCell ref="B56:C56"/>
    <mergeCell ref="B22:F22"/>
    <mergeCell ref="B28:F28"/>
    <mergeCell ref="B34:F34"/>
    <mergeCell ref="B39:F39"/>
    <mergeCell ref="B44:F44"/>
    <mergeCell ref="B2:F3"/>
    <mergeCell ref="B4:F4"/>
    <mergeCell ref="B6:F6"/>
    <mergeCell ref="B12:F12"/>
    <mergeCell ref="B17:F17"/>
  </mergeCells>
  <dataValidations count="1">
    <dataValidation type="list" allowBlank="1" sqref="E7:E10 E13:E15 E18:E20 E23:E26 E29:E32 E35:E37 E40:E42 E45:E47 E50:E53" xr:uid="{00000000-0002-0000-0300-000000000000}">
      <formula1>"☐ To Do,⚙ In Progress,✅ Done,⏸ Blocked,⏭ 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3C3489"/>
  </sheetPr>
  <dimension ref="B2:F23"/>
  <sheetViews>
    <sheetView showGridLines="0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defaultColWidth="8.6640625" defaultRowHeight="14.4" x14ac:dyDescent="0.3"/>
  <cols>
    <col min="1" max="1" width="3" customWidth="1"/>
    <col min="2" max="2" width="10" customWidth="1"/>
    <col min="3" max="3" width="40" customWidth="1"/>
    <col min="4" max="4" width="58" customWidth="1"/>
    <col min="5" max="5" width="18" customWidth="1"/>
    <col min="6" max="6" width="14" customWidth="1"/>
    <col min="7" max="7" width="3" customWidth="1"/>
  </cols>
  <sheetData>
    <row r="2" spans="2:6" ht="25.5" customHeight="1" x14ac:dyDescent="0.3">
      <c r="B2" s="79" t="s">
        <v>334</v>
      </c>
      <c r="C2" s="79"/>
      <c r="D2" s="79"/>
      <c r="E2" s="79"/>
      <c r="F2" s="79"/>
    </row>
    <row r="3" spans="2:6" ht="7.5" customHeight="1" x14ac:dyDescent="0.3">
      <c r="B3" s="79"/>
      <c r="C3" s="79"/>
      <c r="D3" s="79"/>
      <c r="E3" s="79"/>
      <c r="F3" s="79"/>
    </row>
    <row r="4" spans="2:6" ht="15.75" customHeight="1" x14ac:dyDescent="0.3">
      <c r="B4" s="80" t="s">
        <v>335</v>
      </c>
      <c r="C4" s="80"/>
      <c r="D4" s="80"/>
      <c r="E4" s="80"/>
      <c r="F4" s="80"/>
    </row>
    <row r="5" spans="2:6" ht="19.5" customHeight="1" x14ac:dyDescent="0.3">
      <c r="B5" s="38" t="s">
        <v>34</v>
      </c>
      <c r="C5" s="38" t="s">
        <v>35</v>
      </c>
      <c r="D5" s="38" t="s">
        <v>36</v>
      </c>
      <c r="E5" s="38" t="s">
        <v>37</v>
      </c>
      <c r="F5" s="38" t="s">
        <v>38</v>
      </c>
    </row>
    <row r="6" spans="2:6" ht="16.5" customHeight="1" x14ac:dyDescent="0.3">
      <c r="B6" s="5" t="s">
        <v>336</v>
      </c>
      <c r="C6" s="5"/>
      <c r="D6" s="5"/>
      <c r="E6" s="5"/>
      <c r="F6" s="5"/>
    </row>
    <row r="7" spans="2:6" ht="30" customHeight="1" x14ac:dyDescent="0.3">
      <c r="B7" s="64" t="s">
        <v>337</v>
      </c>
      <c r="C7" s="40" t="s">
        <v>338</v>
      </c>
      <c r="D7" s="41" t="s">
        <v>97</v>
      </c>
      <c r="E7" s="42" t="s">
        <v>43</v>
      </c>
      <c r="F7" s="43"/>
    </row>
    <row r="8" spans="2:6" ht="30" customHeight="1" x14ac:dyDescent="0.3">
      <c r="B8" s="65" t="s">
        <v>339</v>
      </c>
      <c r="C8" s="40" t="s">
        <v>340</v>
      </c>
      <c r="D8" s="66" t="s">
        <v>341</v>
      </c>
      <c r="E8" s="67" t="s">
        <v>43</v>
      </c>
      <c r="F8" s="68"/>
    </row>
    <row r="9" spans="2:6" ht="30" customHeight="1" x14ac:dyDescent="0.3">
      <c r="B9" s="64" t="s">
        <v>342</v>
      </c>
      <c r="C9" s="40" t="s">
        <v>343</v>
      </c>
      <c r="D9" s="41" t="s">
        <v>344</v>
      </c>
      <c r="E9" s="42" t="s">
        <v>43</v>
      </c>
      <c r="F9" s="43"/>
    </row>
    <row r="10" spans="2:6" ht="30" customHeight="1" x14ac:dyDescent="0.3">
      <c r="B10" s="65" t="s">
        <v>345</v>
      </c>
      <c r="C10" s="40" t="s">
        <v>346</v>
      </c>
      <c r="D10" s="66" t="s">
        <v>347</v>
      </c>
      <c r="E10" s="67" t="s">
        <v>43</v>
      </c>
      <c r="F10" s="68"/>
    </row>
    <row r="11" spans="2:6" ht="30" customHeight="1" x14ac:dyDescent="0.3">
      <c r="B11" s="64" t="s">
        <v>348</v>
      </c>
      <c r="C11" s="48" t="s">
        <v>349</v>
      </c>
      <c r="D11" s="41" t="s">
        <v>350</v>
      </c>
      <c r="E11" s="42" t="s">
        <v>43</v>
      </c>
      <c r="F11" s="43"/>
    </row>
    <row r="12" spans="2:6" ht="30" customHeight="1" x14ac:dyDescent="0.3">
      <c r="B12" s="65" t="s">
        <v>351</v>
      </c>
      <c r="C12" s="48" t="s">
        <v>352</v>
      </c>
      <c r="D12" s="66" t="s">
        <v>353</v>
      </c>
      <c r="E12" s="67" t="s">
        <v>43</v>
      </c>
      <c r="F12" s="68"/>
    </row>
    <row r="13" spans="2:6" ht="6" customHeight="1" x14ac:dyDescent="0.3"/>
    <row r="14" spans="2:6" ht="16.5" customHeight="1" x14ac:dyDescent="0.3">
      <c r="B14" s="5" t="s">
        <v>354</v>
      </c>
      <c r="C14" s="5"/>
      <c r="D14" s="5"/>
      <c r="E14" s="5"/>
      <c r="F14" s="5"/>
    </row>
    <row r="15" spans="2:6" ht="30" customHeight="1" x14ac:dyDescent="0.3">
      <c r="B15" s="64" t="s">
        <v>355</v>
      </c>
      <c r="C15" s="48" t="s">
        <v>356</v>
      </c>
      <c r="D15" s="41" t="s">
        <v>357</v>
      </c>
      <c r="E15" s="42" t="s">
        <v>43</v>
      </c>
      <c r="F15" s="43"/>
    </row>
    <row r="16" spans="2:6" ht="30" customHeight="1" x14ac:dyDescent="0.3">
      <c r="B16" s="65" t="s">
        <v>358</v>
      </c>
      <c r="C16" s="40" t="s">
        <v>359</v>
      </c>
      <c r="D16" s="66" t="s">
        <v>360</v>
      </c>
      <c r="E16" s="67" t="s">
        <v>43</v>
      </c>
      <c r="F16" s="68"/>
    </row>
    <row r="17" spans="2:6" ht="30" customHeight="1" x14ac:dyDescent="0.3">
      <c r="B17" s="64" t="s">
        <v>361</v>
      </c>
      <c r="C17" s="40" t="s">
        <v>362</v>
      </c>
      <c r="D17" s="41" t="s">
        <v>363</v>
      </c>
      <c r="E17" s="42" t="s">
        <v>43</v>
      </c>
      <c r="F17" s="43"/>
    </row>
    <row r="18" spans="2:6" ht="30" customHeight="1" x14ac:dyDescent="0.3">
      <c r="B18" s="65" t="s">
        <v>364</v>
      </c>
      <c r="C18" s="40" t="s">
        <v>365</v>
      </c>
      <c r="D18" s="66" t="s">
        <v>366</v>
      </c>
      <c r="E18" s="67" t="s">
        <v>43</v>
      </c>
      <c r="F18" s="68"/>
    </row>
    <row r="19" spans="2:6" ht="30" customHeight="1" x14ac:dyDescent="0.3">
      <c r="B19" s="64" t="s">
        <v>367</v>
      </c>
      <c r="C19" s="48" t="s">
        <v>368</v>
      </c>
      <c r="D19" s="41" t="s">
        <v>369</v>
      </c>
      <c r="E19" s="42" t="s">
        <v>43</v>
      </c>
      <c r="F19" s="43"/>
    </row>
    <row r="20" spans="2:6" ht="30" customHeight="1" x14ac:dyDescent="0.3">
      <c r="B20" s="65" t="s">
        <v>370</v>
      </c>
      <c r="C20" s="40" t="s">
        <v>371</v>
      </c>
      <c r="D20" s="66" t="s">
        <v>372</v>
      </c>
      <c r="E20" s="67" t="s">
        <v>43</v>
      </c>
      <c r="F20" s="68"/>
    </row>
    <row r="21" spans="2:6" ht="6" customHeight="1" x14ac:dyDescent="0.3"/>
    <row r="23" spans="2:6" x14ac:dyDescent="0.3">
      <c r="B23" s="81" t="s">
        <v>373</v>
      </c>
      <c r="C23" s="81"/>
      <c r="D23" s="69" t="s">
        <v>374</v>
      </c>
      <c r="E23" s="69">
        <f>COUNTIF(E6:E21,"✅ Done")</f>
        <v>0</v>
      </c>
    </row>
  </sheetData>
  <mergeCells count="5">
    <mergeCell ref="B2:F3"/>
    <mergeCell ref="B4:F4"/>
    <mergeCell ref="B6:F6"/>
    <mergeCell ref="B14:F14"/>
    <mergeCell ref="B23:C23"/>
  </mergeCells>
  <dataValidations count="1">
    <dataValidation type="list" allowBlank="1" sqref="E7:E12 E15:E20" xr:uid="{00000000-0002-0000-0400-000000000000}">
      <formula1>"☐ To Do,⚙ In Progress,✅ Done,⏸ Blocked,⏭ 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F6E56"/>
  </sheetPr>
  <dimension ref="B2:F30"/>
  <sheetViews>
    <sheetView showGridLines="0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defaultColWidth="8.6640625" defaultRowHeight="14.4" x14ac:dyDescent="0.3"/>
  <cols>
    <col min="1" max="1" width="3" customWidth="1"/>
    <col min="2" max="2" width="10" customWidth="1"/>
    <col min="3" max="3" width="40" customWidth="1"/>
    <col min="4" max="4" width="58" customWidth="1"/>
    <col min="5" max="5" width="18" customWidth="1"/>
    <col min="6" max="6" width="14" customWidth="1"/>
    <col min="7" max="7" width="3" customWidth="1"/>
  </cols>
  <sheetData>
    <row r="2" spans="2:6" ht="25.5" customHeight="1" x14ac:dyDescent="0.3">
      <c r="B2" s="82" t="s">
        <v>375</v>
      </c>
      <c r="C2" s="82"/>
      <c r="D2" s="82"/>
      <c r="E2" s="82"/>
      <c r="F2" s="82"/>
    </row>
    <row r="3" spans="2:6" ht="7.5" customHeight="1" x14ac:dyDescent="0.3">
      <c r="B3" s="82"/>
      <c r="C3" s="82"/>
      <c r="D3" s="82"/>
      <c r="E3" s="82"/>
      <c r="F3" s="82"/>
    </row>
    <row r="4" spans="2:6" ht="15.75" customHeight="1" x14ac:dyDescent="0.3">
      <c r="B4" s="83" t="s">
        <v>376</v>
      </c>
      <c r="C4" s="83"/>
      <c r="D4" s="83"/>
      <c r="E4" s="83"/>
      <c r="F4" s="83"/>
    </row>
    <row r="5" spans="2:6" ht="19.5" customHeight="1" x14ac:dyDescent="0.3">
      <c r="B5" s="38" t="s">
        <v>34</v>
      </c>
      <c r="C5" s="38" t="s">
        <v>35</v>
      </c>
      <c r="D5" s="38" t="s">
        <v>36</v>
      </c>
      <c r="E5" s="38" t="s">
        <v>37</v>
      </c>
      <c r="F5" s="38" t="s">
        <v>38</v>
      </c>
    </row>
    <row r="6" spans="2:6" ht="16.5" customHeight="1" x14ac:dyDescent="0.3">
      <c r="B6" s="5" t="s">
        <v>377</v>
      </c>
      <c r="C6" s="5"/>
      <c r="D6" s="5"/>
      <c r="E6" s="5"/>
      <c r="F6" s="5"/>
    </row>
    <row r="7" spans="2:6" ht="30" customHeight="1" x14ac:dyDescent="0.3">
      <c r="B7" s="70" t="s">
        <v>378</v>
      </c>
      <c r="C7" s="48" t="s">
        <v>379</v>
      </c>
      <c r="D7" s="41" t="s">
        <v>380</v>
      </c>
      <c r="E7" s="42" t="s">
        <v>43</v>
      </c>
      <c r="F7" s="43"/>
    </row>
    <row r="8" spans="2:6" ht="30" customHeight="1" x14ac:dyDescent="0.3">
      <c r="B8" s="71" t="s">
        <v>381</v>
      </c>
      <c r="C8" s="48" t="s">
        <v>382</v>
      </c>
      <c r="D8" s="72" t="s">
        <v>383</v>
      </c>
      <c r="E8" s="73" t="s">
        <v>43</v>
      </c>
      <c r="F8" s="74"/>
    </row>
    <row r="9" spans="2:6" ht="30" customHeight="1" x14ac:dyDescent="0.3">
      <c r="B9" s="70" t="s">
        <v>384</v>
      </c>
      <c r="C9" s="48" t="s">
        <v>385</v>
      </c>
      <c r="D9" s="41" t="s">
        <v>386</v>
      </c>
      <c r="E9" s="42" t="s">
        <v>43</v>
      </c>
      <c r="F9" s="43"/>
    </row>
    <row r="10" spans="2:6" ht="30" customHeight="1" x14ac:dyDescent="0.3">
      <c r="B10" s="71" t="s">
        <v>387</v>
      </c>
      <c r="C10" s="48" t="s">
        <v>388</v>
      </c>
      <c r="D10" s="72" t="s">
        <v>389</v>
      </c>
      <c r="E10" s="73" t="s">
        <v>43</v>
      </c>
      <c r="F10" s="74"/>
    </row>
    <row r="11" spans="2:6" ht="30" customHeight="1" x14ac:dyDescent="0.3">
      <c r="B11" s="70" t="s">
        <v>390</v>
      </c>
      <c r="C11" s="48" t="s">
        <v>391</v>
      </c>
      <c r="D11" s="41" t="s">
        <v>392</v>
      </c>
      <c r="E11" s="42" t="s">
        <v>43</v>
      </c>
      <c r="F11" s="43"/>
    </row>
    <row r="12" spans="2:6" ht="30" customHeight="1" x14ac:dyDescent="0.3">
      <c r="B12" s="71" t="s">
        <v>393</v>
      </c>
      <c r="C12" s="48" t="s">
        <v>394</v>
      </c>
      <c r="D12" s="72" t="s">
        <v>395</v>
      </c>
      <c r="E12" s="73" t="s">
        <v>43</v>
      </c>
      <c r="F12" s="74"/>
    </row>
    <row r="13" spans="2:6" ht="30" customHeight="1" x14ac:dyDescent="0.3">
      <c r="B13" s="70" t="s">
        <v>396</v>
      </c>
      <c r="C13" s="40" t="s">
        <v>397</v>
      </c>
      <c r="D13" s="41" t="s">
        <v>398</v>
      </c>
      <c r="E13" s="42" t="s">
        <v>43</v>
      </c>
      <c r="F13" s="43"/>
    </row>
    <row r="14" spans="2:6" ht="30" customHeight="1" x14ac:dyDescent="0.3">
      <c r="B14" s="71" t="s">
        <v>399</v>
      </c>
      <c r="C14" s="40" t="s">
        <v>400</v>
      </c>
      <c r="D14" s="72" t="s">
        <v>401</v>
      </c>
      <c r="E14" s="73" t="s">
        <v>43</v>
      </c>
      <c r="F14" s="74"/>
    </row>
    <row r="15" spans="2:6" ht="30" customHeight="1" x14ac:dyDescent="0.3">
      <c r="B15" s="70" t="s">
        <v>402</v>
      </c>
      <c r="C15" s="40" t="s">
        <v>403</v>
      </c>
      <c r="D15" s="41" t="s">
        <v>404</v>
      </c>
      <c r="E15" s="42" t="s">
        <v>43</v>
      </c>
      <c r="F15" s="43"/>
    </row>
    <row r="16" spans="2:6" ht="6" customHeight="1" x14ac:dyDescent="0.3"/>
    <row r="17" spans="2:6" ht="16.5" customHeight="1" x14ac:dyDescent="0.3">
      <c r="B17" s="5" t="s">
        <v>405</v>
      </c>
      <c r="C17" s="5"/>
      <c r="D17" s="5"/>
      <c r="E17" s="5"/>
      <c r="F17" s="5"/>
    </row>
    <row r="18" spans="2:6" ht="30" customHeight="1" x14ac:dyDescent="0.3">
      <c r="B18" s="71" t="s">
        <v>406</v>
      </c>
      <c r="C18" s="40" t="s">
        <v>407</v>
      </c>
      <c r="D18" s="72" t="s">
        <v>408</v>
      </c>
      <c r="E18" s="73" t="s">
        <v>43</v>
      </c>
      <c r="F18" s="74"/>
    </row>
    <row r="19" spans="2:6" ht="30" customHeight="1" x14ac:dyDescent="0.3">
      <c r="B19" s="70" t="s">
        <v>409</v>
      </c>
      <c r="C19" s="40" t="s">
        <v>410</v>
      </c>
      <c r="D19" s="41" t="s">
        <v>411</v>
      </c>
      <c r="E19" s="42" t="s">
        <v>43</v>
      </c>
      <c r="F19" s="43"/>
    </row>
    <row r="20" spans="2:6" ht="30" customHeight="1" x14ac:dyDescent="0.3">
      <c r="B20" s="71" t="s">
        <v>412</v>
      </c>
      <c r="C20" s="40" t="s">
        <v>413</v>
      </c>
      <c r="D20" s="72" t="s">
        <v>414</v>
      </c>
      <c r="E20" s="73" t="s">
        <v>43</v>
      </c>
      <c r="F20" s="74"/>
    </row>
    <row r="21" spans="2:6" ht="30" customHeight="1" x14ac:dyDescent="0.3">
      <c r="B21" s="70" t="s">
        <v>415</v>
      </c>
      <c r="C21" s="40" t="s">
        <v>416</v>
      </c>
      <c r="D21" s="41" t="s">
        <v>417</v>
      </c>
      <c r="E21" s="42" t="s">
        <v>43</v>
      </c>
      <c r="F21" s="43"/>
    </row>
    <row r="22" spans="2:6" ht="30" customHeight="1" x14ac:dyDescent="0.3">
      <c r="B22" s="71" t="s">
        <v>418</v>
      </c>
      <c r="C22" s="40" t="s">
        <v>419</v>
      </c>
      <c r="D22" s="72" t="s">
        <v>420</v>
      </c>
      <c r="E22" s="73" t="s">
        <v>43</v>
      </c>
      <c r="F22" s="74"/>
    </row>
    <row r="23" spans="2:6" ht="30" customHeight="1" x14ac:dyDescent="0.3">
      <c r="B23" s="70" t="s">
        <v>421</v>
      </c>
      <c r="C23" s="40" t="s">
        <v>422</v>
      </c>
      <c r="D23" s="41" t="s">
        <v>423</v>
      </c>
      <c r="E23" s="42" t="s">
        <v>43</v>
      </c>
      <c r="F23" s="43"/>
    </row>
    <row r="24" spans="2:6" ht="30" customHeight="1" x14ac:dyDescent="0.3">
      <c r="B24" s="71" t="s">
        <v>424</v>
      </c>
      <c r="C24" s="48" t="s">
        <v>425</v>
      </c>
      <c r="D24" s="72" t="s">
        <v>426</v>
      </c>
      <c r="E24" s="73" t="s">
        <v>43</v>
      </c>
      <c r="F24" s="74"/>
    </row>
    <row r="25" spans="2:6" ht="30" customHeight="1" x14ac:dyDescent="0.3">
      <c r="B25" s="70" t="s">
        <v>427</v>
      </c>
      <c r="C25" s="48" t="s">
        <v>428</v>
      </c>
      <c r="D25" s="41" t="s">
        <v>429</v>
      </c>
      <c r="E25" s="42" t="s">
        <v>43</v>
      </c>
      <c r="F25" s="43"/>
    </row>
    <row r="26" spans="2:6" ht="30" customHeight="1" x14ac:dyDescent="0.3">
      <c r="B26" s="71" t="s">
        <v>430</v>
      </c>
      <c r="C26" s="49" t="s">
        <v>431</v>
      </c>
      <c r="D26" s="72" t="s">
        <v>432</v>
      </c>
      <c r="E26" s="73" t="s">
        <v>43</v>
      </c>
      <c r="F26" s="74"/>
    </row>
    <row r="27" spans="2:6" ht="30" customHeight="1" x14ac:dyDescent="0.3">
      <c r="B27" s="70" t="s">
        <v>433</v>
      </c>
      <c r="C27" s="40" t="s">
        <v>434</v>
      </c>
      <c r="D27" s="41" t="s">
        <v>435</v>
      </c>
      <c r="E27" s="42" t="s">
        <v>43</v>
      </c>
      <c r="F27" s="43"/>
    </row>
    <row r="28" spans="2:6" ht="6" customHeight="1" x14ac:dyDescent="0.3"/>
    <row r="30" spans="2:6" x14ac:dyDescent="0.3">
      <c r="B30" s="84" t="s">
        <v>436</v>
      </c>
      <c r="C30" s="84"/>
      <c r="D30" s="75" t="s">
        <v>437</v>
      </c>
      <c r="E30" s="75">
        <f>COUNTIF(E6:E28,"✅ Done")</f>
        <v>0</v>
      </c>
    </row>
  </sheetData>
  <mergeCells count="5">
    <mergeCell ref="B2:F3"/>
    <mergeCell ref="B4:F4"/>
    <mergeCell ref="B6:F6"/>
    <mergeCell ref="B17:F17"/>
    <mergeCell ref="B30:C30"/>
  </mergeCells>
  <dataValidations count="1">
    <dataValidation type="list" allowBlank="1" sqref="E7:E15 E18:E27" xr:uid="{00000000-0002-0000-0500-000000000000}">
      <formula1>"☐ To Do,⚙ In Progress,✅ Done,⏸ Blocked,⏭ 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📊 Dashboard</vt:lpstr>
      <vt:lpstr>🚀 Phase 1 — Setup</vt:lpstr>
      <vt:lpstr>🔧 Phase 2 — Fixes</vt:lpstr>
      <vt:lpstr>📈 Phase 3 — Strategies</vt:lpstr>
      <vt:lpstr>🧪 Phase 4 — Validation</vt:lpstr>
      <vt:lpstr>☁️ Phase 5 — Go Live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Balraj V</cp:lastModifiedBy>
  <cp:revision>0</cp:revision>
  <dcterms:created xsi:type="dcterms:W3CDTF">2026-03-20T07:05:16Z</dcterms:created>
  <dcterms:modified xsi:type="dcterms:W3CDTF">2026-03-22T11:55:08Z</dcterms:modified>
  <dc:language>en-US</dc:language>
</cp:coreProperties>
</file>